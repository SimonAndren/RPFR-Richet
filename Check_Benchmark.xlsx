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simonandren/Richet_review/"/>
    </mc:Choice>
  </mc:AlternateContent>
  <xr:revisionPtr revIDLastSave="0" documentId="13_ncr:1_{E1A1E139-4D3C-1849-835A-316A01F9D87A}" xr6:coauthVersionLast="47" xr6:coauthVersionMax="47" xr10:uidLastSave="{00000000-0000-0000-0000-000000000000}"/>
  <bookViews>
    <workbookView xWindow="480" yWindow="600" windowWidth="29180" windowHeight="19700" activeTab="2" xr2:uid="{00000000-000D-0000-FFFF-FFFF00000000}"/>
  </bookViews>
  <sheets>
    <sheet name="Benchmark" sheetId="1" r:id="rId1"/>
    <sheet name="N2 Benchmark and FullPath vs 7P" sheetId="2" r:id="rId2"/>
    <sheet name="ZPE Comparison (permille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3" l="1"/>
  <c r="N15" i="1"/>
  <c r="L15" i="1"/>
  <c r="J15" i="1"/>
  <c r="H15" i="1"/>
  <c r="F15" i="1"/>
  <c r="D15" i="1"/>
  <c r="N14" i="1"/>
  <c r="L14" i="1"/>
  <c r="J14" i="1"/>
  <c r="H14" i="1"/>
  <c r="F14" i="1"/>
  <c r="D14" i="1"/>
  <c r="N13" i="1"/>
  <c r="L13" i="1"/>
  <c r="J13" i="1"/>
  <c r="H13" i="1"/>
  <c r="F13" i="1"/>
  <c r="D13" i="1"/>
  <c r="N12" i="1"/>
  <c r="L12" i="1"/>
  <c r="J12" i="1"/>
  <c r="H12" i="1"/>
  <c r="F12" i="1"/>
  <c r="D12" i="1"/>
  <c r="N11" i="1"/>
  <c r="L11" i="1"/>
  <c r="J11" i="1"/>
  <c r="H11" i="1"/>
  <c r="F11" i="1"/>
  <c r="D11" i="1"/>
  <c r="N10" i="1"/>
  <c r="L10" i="1"/>
  <c r="J10" i="1"/>
  <c r="H10" i="1"/>
  <c r="F10" i="1"/>
  <c r="D10" i="1"/>
  <c r="N9" i="1"/>
  <c r="L9" i="1"/>
  <c r="J9" i="1"/>
  <c r="H9" i="1"/>
  <c r="F9" i="1"/>
  <c r="D9" i="1"/>
  <c r="N8" i="1"/>
  <c r="L8" i="1"/>
  <c r="J8" i="1"/>
  <c r="H8" i="1"/>
  <c r="F8" i="1"/>
  <c r="D8" i="1"/>
  <c r="N7" i="1"/>
  <c r="L7" i="1"/>
  <c r="J7" i="1"/>
  <c r="H7" i="1"/>
  <c r="F7" i="1"/>
  <c r="D7" i="1"/>
  <c r="N6" i="1"/>
  <c r="L6" i="1"/>
  <c r="J6" i="1"/>
  <c r="H6" i="1"/>
  <c r="F6" i="1"/>
  <c r="D6" i="1"/>
  <c r="N5" i="1"/>
  <c r="L5" i="1"/>
  <c r="J5" i="1"/>
  <c r="H5" i="1"/>
  <c r="F5" i="1"/>
  <c r="D5" i="1"/>
</calcChain>
</file>

<file path=xl/sharedStrings.xml><?xml version="1.0" encoding="utf-8"?>
<sst xmlns="http://schemas.openxmlformats.org/spreadsheetml/2006/main" count="191" uniqueCount="152">
  <si>
    <t>Molecule</t>
  </si>
  <si>
    <t>Experimental ZPE</t>
  </si>
  <si>
    <t>Amila ZPE</t>
  </si>
  <si>
    <t>Amila (‰ vs Exp)</t>
  </si>
  <si>
    <t>Amila TQ5 (Molpro, 7pt fit) ZPE</t>
  </si>
  <si>
    <t>Amila TQ5 (Molpro, 7pt fit) (‰ vs Exp)</t>
  </si>
  <si>
    <t>Piotr 7Z (Gaussian, full path) ZPE</t>
  </si>
  <si>
    <t>Piotr 7Z (Gaussian, full path) (‰ vs Exp)</t>
  </si>
  <si>
    <t>Piotr F12 (Molpro/Orca, full path) ZPE</t>
  </si>
  <si>
    <t>Piotr F12 (Molpro/Orca, full path) (‰ vs Exp)</t>
  </si>
  <si>
    <t>Piotr TQ5 (Molpro, 7pt fit) ZPE</t>
  </si>
  <si>
    <t>Piotr TQ5 (Molpro, 7pt fit) (‰ vs Exp)</t>
  </si>
  <si>
    <t>Piotr TQ5 (Molpro, full path) ZPE</t>
  </si>
  <si>
    <t>Piotr TQ5 (Molpro, full path) (‰ vs Exp)</t>
  </si>
  <si>
    <t>Simon (CCSD(T)/aug-cc-pv5Z) ZPE</t>
  </si>
  <si>
    <t>Simon (CCSD(T)/aug-cc-pv5Z) (‰ vs Exp)</t>
  </si>
  <si>
    <t>1H2H/1H1H</t>
  </si>
  <si>
    <t>1H3H/1H1H</t>
  </si>
  <si>
    <t>2H19F/1H19F</t>
  </si>
  <si>
    <t>3H19F/1H19F</t>
  </si>
  <si>
    <t>2H35Cl/1H35Cl</t>
  </si>
  <si>
    <t>3H35Cl/1H35Cl</t>
  </si>
  <si>
    <t>1H37Cl/1H35Cl</t>
  </si>
  <si>
    <t>2H37Cl/1H35Cl</t>
  </si>
  <si>
    <t>3H37Cl/1H35Cl</t>
  </si>
  <si>
    <t>35Cl37Cl/35Cl35Cl</t>
  </si>
  <si>
    <t>14N15N/14N14N</t>
  </si>
  <si>
    <t>15N15N/14N14N</t>
  </si>
  <si>
    <t>14N17O/14N16O</t>
  </si>
  <si>
    <t>14N18O/14N16O</t>
  </si>
  <si>
    <t>15N16O/14N16O</t>
  </si>
  <si>
    <t>15N17O/14N16O</t>
  </si>
  <si>
    <t>15N18O/14N16O</t>
  </si>
  <si>
    <t>16O18O/16O16O</t>
  </si>
  <si>
    <t>17O17O/16O16O</t>
  </si>
  <si>
    <t>17O18O/16O16O</t>
  </si>
  <si>
    <t>18O18O/16O16O</t>
  </si>
  <si>
    <t>32S33S/32S32S</t>
  </si>
  <si>
    <t>32S34S/32S32S</t>
  </si>
  <si>
    <t>32S36S/32S32S</t>
  </si>
  <si>
    <t>33S33S/32S32S</t>
  </si>
  <si>
    <t>33S34S/32S32S</t>
  </si>
  <si>
    <t>33S36S/32S32S</t>
  </si>
  <si>
    <t>34S34S/32S32S</t>
  </si>
  <si>
    <t>34S36S/32S32S</t>
  </si>
  <si>
    <t>36S36S/32S32S</t>
  </si>
  <si>
    <t>32S17O/32S16O</t>
  </si>
  <si>
    <t>32S18O/32S16O</t>
  </si>
  <si>
    <t>33S16O/32S16O</t>
  </si>
  <si>
    <t>33S17O/32S16O</t>
  </si>
  <si>
    <t>33S18O/32S16O</t>
  </si>
  <si>
    <t>34S16O/32S16O</t>
  </si>
  <si>
    <t>34S17O/32S16O</t>
  </si>
  <si>
    <t>34S18O/32S16O</t>
  </si>
  <si>
    <t>36S16O/32S16O</t>
  </si>
  <si>
    <t>36S17O/32S16O</t>
  </si>
  <si>
    <t>36S18O/32S16O</t>
  </si>
  <si>
    <t>12C17O/12C16O</t>
  </si>
  <si>
    <t>12C18O/12C16O</t>
  </si>
  <si>
    <t>13C16O/12C16O</t>
  </si>
  <si>
    <t>13C17O/12C16O</t>
  </si>
  <si>
    <t>13C18O/12C16O</t>
  </si>
  <si>
    <t>14C16O/12C16O</t>
  </si>
  <si>
    <t>14C17O/12C16O</t>
  </si>
  <si>
    <t>14C18O/12C16O</t>
  </si>
  <si>
    <t>12C33S/12C32S</t>
  </si>
  <si>
    <t>12C34S/12C32S</t>
  </si>
  <si>
    <t>12C36S/12C32S</t>
  </si>
  <si>
    <t>13C32S/12C32S</t>
  </si>
  <si>
    <t>13C33S/12C32S</t>
  </si>
  <si>
    <t>13C34S/12C32S</t>
  </si>
  <si>
    <t>13C36S/12C32S</t>
  </si>
  <si>
    <t>14C32S/12C32S</t>
  </si>
  <si>
    <t>14C33S/12C32S</t>
  </si>
  <si>
    <t>14C34S/12C32S</t>
  </si>
  <si>
    <t>14C36S/12C32S</t>
  </si>
  <si>
    <t>Summary Statistics</t>
  </si>
  <si>
    <t>Mean (‰)</t>
  </si>
  <si>
    <t>Mean |‰|</t>
  </si>
  <si>
    <t>Max |‰|</t>
  </si>
  <si>
    <t>Std (‰)</t>
  </si>
  <si>
    <t>N pairs</t>
  </si>
  <si>
    <t>Benchmarking, check and comparison</t>
  </si>
  <si>
    <t>Abs(error) in cm-1</t>
  </si>
  <si>
    <t>N2</t>
  </si>
  <si>
    <t>ωe /cm-1</t>
  </si>
  <si>
    <t>ωexe /cm-1</t>
  </si>
  <si>
    <t>Be /cm-1</t>
  </si>
  <si>
    <t>αe /cm-1</t>
  </si>
  <si>
    <t>De /10-6 cm-1</t>
  </si>
  <si>
    <t>re /Å</t>
  </si>
  <si>
    <t>D(ωe )=|ωe cal-ωe ref|</t>
  </si>
  <si>
    <t>1Σg+</t>
  </si>
  <si>
    <t>Reference</t>
  </si>
  <si>
    <t>14N2</t>
  </si>
  <si>
    <t>CCSD(T)</t>
  </si>
  <si>
    <t>F-12</t>
  </si>
  <si>
    <t>piotr</t>
  </si>
  <si>
    <t>7Z</t>
  </si>
  <si>
    <t>TQ5+DKH3</t>
  </si>
  <si>
    <t>piotr* (7points)</t>
  </si>
  <si>
    <t>amila</t>
  </si>
  <si>
    <t>TQ5</t>
  </si>
  <si>
    <t>Q5+DKH3</t>
  </si>
  <si>
    <t>Q5</t>
  </si>
  <si>
    <t>aug-cc-pv5z</t>
  </si>
  <si>
    <t>Simon</t>
  </si>
  <si>
    <t>Legend:</t>
  </si>
  <si>
    <t>Molpro</t>
  </si>
  <si>
    <t>Gaussian</t>
  </si>
  <si>
    <t>Molpro/Orca</t>
  </si>
  <si>
    <t>full path</t>
  </si>
  <si>
    <t>from FREQ</t>
  </si>
  <si>
    <t>Frequency</t>
  </si>
  <si>
    <t>ωe﻿/cm-1 </t>
  </si>
  <si>
    <t>CCSD(T) / aug-cc-pwCVXZ-DK + DKH3</t>
  </si>
  <si>
    <t>CCSD(T)/aug-cc-pv7Z</t>
  </si>
  <si>
    <t>..-F12/aug-cc-pvQZ-F12</t>
  </si>
  <si>
    <t>CCSD(T)/aug-cc-pv5Z</t>
  </si>
  <si>
    <t xml:space="preserve">ORCA </t>
  </si>
  <si>
    <t>MOLPRO</t>
  </si>
  <si>
    <t>ORCA</t>
  </si>
  <si>
    <t>Absolute Error</t>
  </si>
  <si>
    <t>|Δ|/cm-1 </t>
  </si>
  <si>
    <t>7 points/fit</t>
  </si>
  <si>
    <t>full path/solver</t>
  </si>
  <si>
    <t>FREQ or ANH…</t>
  </si>
  <si>
    <t>aug-cc-pvqz</t>
  </si>
  <si>
    <t>Experiment</t>
  </si>
  <si>
    <t xml:space="preserve">Amila TQ5 </t>
  </si>
  <si>
    <t>|Δ|</t>
  </si>
  <si>
    <t>Piotr TQ5</t>
  </si>
  <si>
    <t>Piotr 7Z</t>
  </si>
  <si>
    <t>Piotr F12</t>
  </si>
  <si>
    <t>exact</t>
  </si>
  <si>
    <t>standard/exact mass</t>
  </si>
  <si>
    <t>standard</t>
  </si>
  <si>
    <t>: standard mass or exact isotope mass for H</t>
  </si>
  <si>
    <t>12C16O </t>
  </si>
  <si>
    <t>12C32S </t>
  </si>
  <si>
    <t>35Cl2 </t>
  </si>
  <si>
    <t>1H35Cl </t>
  </si>
  <si>
    <t>1H19F </t>
  </si>
  <si>
    <t>4141.52 / 4141.86</t>
  </si>
  <si>
    <t>(benchmarking of HF becasue F is ony 19)</t>
  </si>
  <si>
    <t>1H2 </t>
  </si>
  <si>
    <t>14N16O </t>
  </si>
  <si>
    <t>14N2 </t>
  </si>
  <si>
    <t>16O2 </t>
  </si>
  <si>
    <t>32S16O </t>
  </si>
  <si>
    <t>32S2 </t>
  </si>
  <si>
    <t>Simon - update with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</si>
</sst>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,##0.0000"/>
    <numFmt numFmtId="166" formatCode="#,##0.000"/>
    <numFmt numFmtId="167" formatCode="#,##0.00000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B7B7B7"/>
      <name val="Aptos Narrow"/>
      <family val="2"/>
    </font>
    <font>
      <sz val="11"/>
      <color rgb="FF000000"/>
      <name val="Symbol"/>
      <family val="2"/>
    </font>
    <font>
      <sz val="12"/>
      <color rgb="FF4D93D9"/>
      <name val="&quot;Aptos Narrow&quot;"/>
      <family val="2"/>
    </font>
    <font>
      <sz val="11"/>
      <color rgb="FF4D93D9"/>
      <name val="Arial"/>
      <family val="2"/>
    </font>
    <font>
      <sz val="12"/>
      <color rgb="FF000000"/>
      <name val="Arial"/>
      <family val="2"/>
    </font>
    <font>
      <sz val="12"/>
      <color rgb="FF000000"/>
      <name val="&quot;Aptos Narrow&quot;"/>
      <family val="2"/>
    </font>
    <font>
      <sz val="12"/>
      <color rgb="FFFFE599"/>
      <name val="Arial"/>
      <family val="2"/>
    </font>
    <font>
      <sz val="12"/>
      <color rgb="FFFFE599"/>
      <name val="&quot;Aptos Narrow&quot;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0"/>
      <color rgb="FF434343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AF2D0"/>
      </patternFill>
    </fill>
    <fill>
      <patternFill patternType="solid">
        <fgColor rgb="FFCAEDFB"/>
      </patternFill>
    </fill>
    <fill>
      <patternFill patternType="solid">
        <fgColor rgb="FFC0E6F5"/>
      </patternFill>
    </fill>
    <fill>
      <patternFill patternType="solid">
        <fgColor rgb="FFD0D0D0"/>
      </patternFill>
    </fill>
    <fill>
      <patternFill patternType="solid">
        <fgColor rgb="FFD9D9D9"/>
      </patternFill>
    </fill>
    <fill>
      <patternFill patternType="solid">
        <fgColor rgb="FFF2CEEF"/>
      </patternFill>
    </fill>
    <fill>
      <patternFill patternType="solid">
        <fgColor rgb="FF4EA72E"/>
      </patternFill>
    </fill>
    <fill>
      <patternFill patternType="solid">
        <fgColor rgb="FFF1CEEE"/>
      </patternFill>
    </fill>
    <fill>
      <patternFill patternType="solid">
        <fgColor rgb="FFC1F0C8"/>
      </patternFill>
    </fill>
    <fill>
      <patternFill patternType="solid">
        <fgColor rgb="FFFAE2D5"/>
      </patternFill>
    </fill>
    <fill>
      <patternFill patternType="solid">
        <fgColor rgb="FFD8D8D8"/>
      </patternFill>
    </fill>
    <fill>
      <patternFill patternType="solid">
        <fgColor rgb="FFD9F2D0"/>
      </patternFill>
    </fill>
    <fill>
      <patternFill patternType="solid">
        <fgColor rgb="FFC1E4F5"/>
      </patternFill>
    </fill>
    <fill>
      <patternFill patternType="solid">
        <fgColor rgb="FF84E291"/>
      </patternFill>
    </fill>
    <fill>
      <patternFill patternType="solid">
        <fgColor rgb="FF434343"/>
      </patternFill>
    </fill>
    <fill>
      <patternFill patternType="solid">
        <fgColor rgb="FF999999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/>
    <xf numFmtId="166" fontId="0" fillId="0" borderId="0" xfId="0" applyNumberFormat="1"/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166" fontId="4" fillId="0" borderId="2" xfId="0" applyNumberFormat="1" applyFont="1" applyBorder="1" applyAlignment="1">
      <alignment horizontal="left"/>
    </xf>
    <xf numFmtId="4" fontId="3" fillId="3" borderId="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4" fontId="5" fillId="5" borderId="3" xfId="0" applyNumberFormat="1" applyFont="1" applyFill="1" applyBorder="1" applyAlignment="1">
      <alignment horizontal="center"/>
    </xf>
    <xf numFmtId="166" fontId="5" fillId="5" borderId="3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right"/>
    </xf>
    <xf numFmtId="165" fontId="4" fillId="6" borderId="1" xfId="0" applyNumberFormat="1" applyFont="1" applyFill="1" applyBorder="1" applyAlignment="1">
      <alignment horizontal="right"/>
    </xf>
    <xf numFmtId="166" fontId="4" fillId="6" borderId="1" xfId="0" applyNumberFormat="1" applyFont="1" applyFill="1" applyBorder="1" applyAlignment="1">
      <alignment horizontal="right"/>
    </xf>
    <xf numFmtId="167" fontId="4" fillId="6" borderId="1" xfId="0" applyNumberFormat="1" applyFont="1" applyFill="1" applyBorder="1" applyAlignment="1">
      <alignment horizontal="right"/>
    </xf>
    <xf numFmtId="4" fontId="4" fillId="7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right"/>
    </xf>
    <xf numFmtId="4" fontId="4" fillId="8" borderId="1" xfId="0" applyNumberFormat="1" applyFont="1" applyFill="1" applyBorder="1" applyAlignment="1">
      <alignment horizontal="left"/>
    </xf>
    <xf numFmtId="166" fontId="4" fillId="8" borderId="1" xfId="0" applyNumberFormat="1" applyFont="1" applyFill="1" applyBorder="1" applyAlignment="1">
      <alignment horizontal="left"/>
    </xf>
    <xf numFmtId="4" fontId="3" fillId="8" borderId="1" xfId="0" applyNumberFormat="1" applyFont="1" applyFill="1" applyBorder="1" applyAlignment="1">
      <alignment horizontal="right"/>
    </xf>
    <xf numFmtId="0" fontId="11" fillId="9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center"/>
    </xf>
    <xf numFmtId="4" fontId="12" fillId="9" borderId="1" xfId="0" applyNumberFormat="1" applyFont="1" applyFill="1" applyBorder="1" applyAlignment="1">
      <alignment horizontal="left"/>
    </xf>
    <xf numFmtId="0" fontId="13" fillId="6" borderId="1" xfId="0" applyFont="1" applyFill="1" applyBorder="1" applyAlignment="1">
      <alignment horizontal="center" wrapText="1"/>
    </xf>
    <xf numFmtId="4" fontId="14" fillId="6" borderId="1" xfId="0" applyNumberFormat="1" applyFont="1" applyFill="1" applyBorder="1" applyAlignment="1">
      <alignment horizontal="left"/>
    </xf>
    <xf numFmtId="4" fontId="15" fillId="12" borderId="1" xfId="0" applyNumberFormat="1" applyFont="1" applyFill="1" applyBorder="1" applyAlignment="1">
      <alignment horizontal="left"/>
    </xf>
    <xf numFmtId="4" fontId="15" fillId="10" borderId="1" xfId="0" applyNumberFormat="1" applyFont="1" applyFill="1" applyBorder="1" applyAlignment="1">
      <alignment horizontal="center"/>
    </xf>
    <xf numFmtId="4" fontId="15" fillId="4" borderId="1" xfId="0" applyNumberFormat="1" applyFont="1" applyFill="1" applyBorder="1" applyAlignment="1">
      <alignment horizontal="left"/>
    </xf>
    <xf numFmtId="0" fontId="15" fillId="13" borderId="1" xfId="0" applyFont="1" applyFill="1" applyBorder="1" applyAlignment="1">
      <alignment horizontal="left"/>
    </xf>
    <xf numFmtId="4" fontId="15" fillId="14" borderId="1" xfId="0" applyNumberFormat="1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4" fontId="13" fillId="6" borderId="1" xfId="0" applyNumberFormat="1" applyFont="1" applyFill="1" applyBorder="1" applyAlignment="1">
      <alignment horizontal="center" wrapText="1"/>
    </xf>
    <xf numFmtId="4" fontId="14" fillId="10" borderId="1" xfId="0" applyNumberFormat="1" applyFont="1" applyFill="1" applyBorder="1" applyAlignment="1">
      <alignment horizontal="left"/>
    </xf>
    <xf numFmtId="0" fontId="14" fillId="10" borderId="1" xfId="0" applyFont="1" applyFill="1" applyBorder="1" applyAlignment="1">
      <alignment horizontal="left"/>
    </xf>
    <xf numFmtId="4" fontId="14" fillId="11" borderId="1" xfId="0" applyNumberFormat="1" applyFont="1" applyFill="1" applyBorder="1" applyAlignment="1">
      <alignment horizontal="left"/>
    </xf>
    <xf numFmtId="0" fontId="14" fillId="11" borderId="1" xfId="0" applyFont="1" applyFill="1" applyBorder="1" applyAlignment="1">
      <alignment horizontal="left"/>
    </xf>
    <xf numFmtId="4" fontId="14" fillId="6" borderId="1" xfId="0" applyNumberFormat="1" applyFont="1" applyFill="1" applyBorder="1" applyAlignment="1">
      <alignment horizontal="center"/>
    </xf>
    <xf numFmtId="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4" fontId="14" fillId="0" borderId="2" xfId="0" applyNumberFormat="1" applyFont="1" applyBorder="1" applyAlignment="1">
      <alignment horizontal="left"/>
    </xf>
    <xf numFmtId="4" fontId="15" fillId="12" borderId="1" xfId="0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  <xf numFmtId="4" fontId="14" fillId="15" borderId="3" xfId="0" applyNumberFormat="1" applyFont="1" applyFill="1" applyBorder="1" applyAlignment="1">
      <alignment horizontal="center" wrapText="1"/>
    </xf>
    <xf numFmtId="0" fontId="14" fillId="15" borderId="3" xfId="0" applyFont="1" applyFill="1" applyBorder="1" applyAlignment="1">
      <alignment horizontal="center"/>
    </xf>
    <xf numFmtId="4" fontId="14" fillId="16" borderId="3" xfId="0" applyNumberFormat="1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4" fontId="15" fillId="0" borderId="2" xfId="0" applyNumberFormat="1" applyFont="1" applyBorder="1" applyAlignment="1">
      <alignment horizontal="center" wrapText="1"/>
    </xf>
    <xf numFmtId="4" fontId="15" fillId="0" borderId="2" xfId="0" applyNumberFormat="1" applyFont="1" applyBorder="1" applyAlignment="1">
      <alignment horizontal="left" wrapText="1"/>
    </xf>
    <xf numFmtId="4" fontId="13" fillId="0" borderId="2" xfId="0" applyNumberFormat="1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4" fontId="16" fillId="15" borderId="3" xfId="0" applyNumberFormat="1" applyFont="1" applyFill="1" applyBorder="1" applyAlignment="1">
      <alignment horizontal="center"/>
    </xf>
    <xf numFmtId="4" fontId="14" fillId="15" borderId="3" xfId="0" applyNumberFormat="1" applyFont="1" applyFill="1" applyBorder="1" applyAlignment="1">
      <alignment horizontal="center"/>
    </xf>
    <xf numFmtId="4" fontId="13" fillId="17" borderId="1" xfId="0" applyNumberFormat="1" applyFont="1" applyFill="1" applyBorder="1" applyAlignment="1">
      <alignment horizontal="left"/>
    </xf>
    <xf numFmtId="0" fontId="13" fillId="17" borderId="1" xfId="0" applyFont="1" applyFill="1" applyBorder="1" applyAlignment="1">
      <alignment horizontal="left"/>
    </xf>
    <xf numFmtId="4" fontId="15" fillId="12" borderId="1" xfId="0" applyNumberFormat="1" applyFont="1" applyFill="1" applyBorder="1" applyAlignment="1">
      <alignment horizontal="right"/>
    </xf>
    <xf numFmtId="4" fontId="15" fillId="4" borderId="1" xfId="0" applyNumberFormat="1" applyFont="1" applyFill="1" applyBorder="1" applyAlignment="1">
      <alignment horizontal="right"/>
    </xf>
    <xf numFmtId="4" fontId="15" fillId="13" borderId="1" xfId="0" applyNumberFormat="1" applyFont="1" applyFill="1" applyBorder="1" applyAlignment="1">
      <alignment horizontal="right"/>
    </xf>
    <xf numFmtId="4" fontId="15" fillId="14" borderId="1" xfId="0" applyNumberFormat="1" applyFont="1" applyFill="1" applyBorder="1" applyAlignment="1">
      <alignment horizontal="right"/>
    </xf>
    <xf numFmtId="0" fontId="17" fillId="0" borderId="2" xfId="0" applyFont="1" applyBorder="1" applyAlignment="1">
      <alignment horizontal="left"/>
    </xf>
    <xf numFmtId="4" fontId="13" fillId="0" borderId="2" xfId="0" applyNumberFormat="1" applyFont="1" applyBorder="1" applyAlignment="1">
      <alignment horizontal="right"/>
    </xf>
    <xf numFmtId="4" fontId="9" fillId="17" borderId="1" xfId="0" applyNumberFormat="1" applyFont="1" applyFill="1" applyBorder="1" applyAlignment="1">
      <alignment horizontal="left"/>
    </xf>
    <xf numFmtId="0" fontId="9" fillId="17" borderId="1" xfId="0" applyFont="1" applyFill="1" applyBorder="1" applyAlignment="1">
      <alignment horizontal="left"/>
    </xf>
    <xf numFmtId="4" fontId="4" fillId="0" borderId="2" xfId="0" applyNumberFormat="1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4" fontId="14" fillId="0" borderId="3" xfId="0" applyNumberFormat="1" applyFont="1" applyBorder="1" applyAlignment="1">
      <alignment horizontal="center" wrapText="1"/>
    </xf>
    <xf numFmtId="4" fontId="3" fillId="18" borderId="3" xfId="0" applyNumberFormat="1" applyFont="1" applyFill="1" applyBorder="1" applyAlignment="1">
      <alignment horizontal="center"/>
    </xf>
    <xf numFmtId="4" fontId="9" fillId="0" borderId="2" xfId="0" applyNumberFormat="1" applyFont="1" applyBorder="1" applyAlignment="1">
      <alignment horizontal="left"/>
    </xf>
    <xf numFmtId="4" fontId="14" fillId="4" borderId="1" xfId="0" applyNumberFormat="1" applyFont="1" applyFill="1" applyBorder="1" applyAlignment="1">
      <alignment horizontal="center"/>
    </xf>
    <xf numFmtId="0" fontId="0" fillId="0" borderId="0" xfId="0"/>
    <xf numFmtId="4" fontId="0" fillId="0" borderId="0" xfId="0" applyNumberFormat="1"/>
    <xf numFmtId="4" fontId="14" fillId="10" borderId="1" xfId="0" applyNumberFormat="1" applyFont="1" applyFill="1" applyBorder="1" applyAlignment="1">
      <alignment horizontal="center"/>
    </xf>
    <xf numFmtId="4" fontId="14" fillId="11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00"/>
  <sheetViews>
    <sheetView workbookViewId="0"/>
  </sheetViews>
  <sheetFormatPr baseColWidth="10" defaultColWidth="8.83203125" defaultRowHeight="15"/>
  <cols>
    <col min="1" max="1" width="10.5" bestFit="1" customWidth="1"/>
    <col min="2" max="3" width="10.5" style="12" bestFit="1" customWidth="1"/>
    <col min="4" max="4" width="10.5" bestFit="1" customWidth="1"/>
    <col min="5" max="5" width="10.5" style="12" bestFit="1" customWidth="1"/>
    <col min="6" max="6" width="10.5" bestFit="1" customWidth="1"/>
    <col min="7" max="7" width="10.5" style="12" bestFit="1" customWidth="1"/>
    <col min="8" max="8" width="10.5" bestFit="1" customWidth="1"/>
    <col min="9" max="9" width="10.5" style="12" bestFit="1" customWidth="1"/>
    <col min="10" max="10" width="10.5" bestFit="1" customWidth="1"/>
    <col min="11" max="11" width="10.5" style="12" bestFit="1" customWidth="1"/>
    <col min="12" max="12" width="10.5" bestFit="1" customWidth="1"/>
    <col min="13" max="13" width="10.5" style="12" bestFit="1" customWidth="1"/>
    <col min="14" max="14" width="10.5" bestFit="1" customWidth="1"/>
    <col min="15" max="15" width="10.5" style="12" bestFit="1" customWidth="1"/>
    <col min="16" max="16" width="15.83203125" style="12" bestFit="1" customWidth="1"/>
    <col min="17" max="17" width="13" style="12" bestFit="1" customWidth="1"/>
    <col min="18" max="18" width="13" bestFit="1" customWidth="1"/>
    <col min="19" max="19" width="13" style="12" bestFit="1" customWidth="1"/>
    <col min="20" max="23" width="13" bestFit="1" customWidth="1"/>
  </cols>
  <sheetData>
    <row r="1" spans="1:23" ht="18.75" customHeight="1">
      <c r="A1" s="54" t="s">
        <v>107</v>
      </c>
      <c r="B1" s="55"/>
      <c r="C1" s="101" t="s">
        <v>108</v>
      </c>
      <c r="D1" s="102"/>
      <c r="E1" s="103"/>
      <c r="F1" s="102"/>
      <c r="G1" s="103"/>
      <c r="H1" s="102"/>
      <c r="I1" s="104" t="s">
        <v>109</v>
      </c>
      <c r="J1" s="102"/>
      <c r="K1" s="105" t="s">
        <v>110</v>
      </c>
      <c r="L1" s="102"/>
      <c r="M1" s="103"/>
      <c r="N1" s="102"/>
      <c r="O1" s="56" t="s">
        <v>111</v>
      </c>
      <c r="P1" s="57" t="s">
        <v>112</v>
      </c>
      <c r="Q1" s="58" t="s">
        <v>112</v>
      </c>
      <c r="R1" s="59"/>
      <c r="S1" s="60" t="s">
        <v>111</v>
      </c>
      <c r="T1" s="61"/>
      <c r="U1" s="61"/>
      <c r="V1" s="61"/>
      <c r="W1" s="61"/>
    </row>
    <row r="2" spans="1:23" ht="18.75" customHeight="1">
      <c r="A2" s="62" t="s">
        <v>113</v>
      </c>
      <c r="B2" s="63" t="s">
        <v>114</v>
      </c>
      <c r="C2" s="101" t="s">
        <v>115</v>
      </c>
      <c r="D2" s="102"/>
      <c r="E2" s="103"/>
      <c r="F2" s="102"/>
      <c r="G2" s="103"/>
      <c r="H2" s="102"/>
      <c r="I2" s="64" t="s">
        <v>116</v>
      </c>
      <c r="J2" s="65"/>
      <c r="K2" s="66" t="s">
        <v>117</v>
      </c>
      <c r="L2" s="67"/>
      <c r="M2" s="66" t="s">
        <v>118</v>
      </c>
      <c r="N2" s="67"/>
      <c r="O2" s="56" t="s">
        <v>109</v>
      </c>
      <c r="P2" s="57" t="s">
        <v>119</v>
      </c>
      <c r="Q2" s="58" t="s">
        <v>120</v>
      </c>
      <c r="R2" s="59"/>
      <c r="S2" s="60" t="s">
        <v>121</v>
      </c>
      <c r="T2" s="61"/>
      <c r="U2" s="61"/>
      <c r="V2" s="61"/>
      <c r="W2" s="61"/>
    </row>
    <row r="3" spans="1:23" ht="18.75" customHeight="1">
      <c r="A3" s="62" t="s">
        <v>122</v>
      </c>
      <c r="B3" s="68" t="s">
        <v>123</v>
      </c>
      <c r="C3" s="69" t="s">
        <v>124</v>
      </c>
      <c r="D3" s="70"/>
      <c r="E3" s="69" t="s">
        <v>124</v>
      </c>
      <c r="F3" s="70"/>
      <c r="G3" s="69" t="s">
        <v>125</v>
      </c>
      <c r="H3" s="71"/>
      <c r="I3" s="69" t="s">
        <v>125</v>
      </c>
      <c r="J3" s="71"/>
      <c r="K3" s="72" t="s">
        <v>125</v>
      </c>
      <c r="L3" s="71"/>
      <c r="M3" s="72" t="s">
        <v>126</v>
      </c>
      <c r="N3" s="71"/>
      <c r="O3" s="73" t="s">
        <v>105</v>
      </c>
      <c r="P3" s="57" t="s">
        <v>105</v>
      </c>
      <c r="Q3" s="58" t="s">
        <v>105</v>
      </c>
      <c r="R3" s="59"/>
      <c r="S3" s="60" t="s">
        <v>127</v>
      </c>
      <c r="T3" s="61"/>
      <c r="U3" s="61"/>
      <c r="V3" s="61"/>
      <c r="W3" s="61"/>
    </row>
    <row r="4" spans="1:23" ht="31.5" customHeight="1">
      <c r="A4" s="74" t="s">
        <v>0</v>
      </c>
      <c r="B4" s="75" t="s">
        <v>128</v>
      </c>
      <c r="C4" s="76" t="s">
        <v>129</v>
      </c>
      <c r="D4" s="77" t="s">
        <v>130</v>
      </c>
      <c r="E4" s="75" t="s">
        <v>131</v>
      </c>
      <c r="F4" s="74" t="s">
        <v>130</v>
      </c>
      <c r="G4" s="75" t="s">
        <v>131</v>
      </c>
      <c r="H4" s="74" t="s">
        <v>130</v>
      </c>
      <c r="I4" s="75" t="s">
        <v>132</v>
      </c>
      <c r="J4" s="74" t="s">
        <v>130</v>
      </c>
      <c r="K4" s="75" t="s">
        <v>133</v>
      </c>
      <c r="L4" s="74" t="s">
        <v>130</v>
      </c>
      <c r="M4" s="78" t="s">
        <v>106</v>
      </c>
      <c r="N4" s="79" t="s">
        <v>130</v>
      </c>
      <c r="O4" s="80" t="s">
        <v>134</v>
      </c>
      <c r="P4" s="80" t="s">
        <v>135</v>
      </c>
      <c r="Q4" s="81" t="s">
        <v>136</v>
      </c>
      <c r="R4" s="61"/>
      <c r="S4" s="82" t="s">
        <v>134</v>
      </c>
      <c r="T4" s="61" t="s">
        <v>137</v>
      </c>
      <c r="U4" s="61"/>
      <c r="V4" s="61"/>
      <c r="W4" s="61"/>
    </row>
    <row r="5" spans="1:23" ht="18.75" customHeight="1">
      <c r="A5" s="83" t="s">
        <v>138</v>
      </c>
      <c r="B5" s="75">
        <v>2169.7558899999999</v>
      </c>
      <c r="C5" s="84">
        <v>2175.46</v>
      </c>
      <c r="D5" s="85">
        <f t="shared" ref="D5:D15" si="0">IF(C5="","  ",ABS(C5-$B5))</f>
        <v>5.7041100000001279</v>
      </c>
      <c r="E5" s="75">
        <v>2164.79</v>
      </c>
      <c r="F5" s="75">
        <f t="shared" ref="F5:F15" si="1">IF(E5="","  ",ABS(E5-$B5))</f>
        <v>4.9658899999999448</v>
      </c>
      <c r="G5" s="75">
        <v>2164.6931115699999</v>
      </c>
      <c r="H5" s="75">
        <f t="shared" ref="H5:H15" si="2">IF(G5="","  ",ABS(G5-$B5))</f>
        <v>5.0627784299999803</v>
      </c>
      <c r="I5" s="75">
        <v>2165.38559648</v>
      </c>
      <c r="J5" s="75">
        <f t="shared" ref="J5:J15" si="3">IF(I5="","  ",ABS(I5-$B5))</f>
        <v>4.3702935199999047</v>
      </c>
      <c r="K5" s="75">
        <v>2166.4591743000001</v>
      </c>
      <c r="L5" s="75">
        <f t="shared" ref="L5:L15" si="4">IF(K5="","  ",ABS(K5-$B5))</f>
        <v>3.2967156999998224</v>
      </c>
      <c r="M5" s="78">
        <v>2162.54</v>
      </c>
      <c r="N5" s="78">
        <f t="shared" ref="N5:N15" si="5">IF(M5="","  ",ABS(M5-$B5))</f>
        <v>7.2158899999999448</v>
      </c>
      <c r="O5" s="86"/>
      <c r="P5" s="86"/>
      <c r="Q5" s="86"/>
      <c r="R5" s="87"/>
      <c r="S5" s="82"/>
      <c r="T5" s="61"/>
      <c r="U5" s="61"/>
      <c r="V5" s="61"/>
      <c r="W5" s="61"/>
    </row>
    <row r="6" spans="1:23" ht="18.75" customHeight="1">
      <c r="A6" s="83" t="s">
        <v>139</v>
      </c>
      <c r="B6" s="75">
        <v>1285.15464</v>
      </c>
      <c r="C6" s="84">
        <v>1292.43</v>
      </c>
      <c r="D6" s="85">
        <f t="shared" si="0"/>
        <v>7.2753600000000915</v>
      </c>
      <c r="E6" s="75">
        <v>1284.8699999999999</v>
      </c>
      <c r="F6" s="75">
        <f t="shared" si="1"/>
        <v>0.28464000000008127</v>
      </c>
      <c r="G6" s="75">
        <v>1284.81693821</v>
      </c>
      <c r="H6" s="75">
        <f t="shared" si="2"/>
        <v>0.33770178999998279</v>
      </c>
      <c r="I6" s="75">
        <v>1285.3292272000001</v>
      </c>
      <c r="J6" s="75">
        <f t="shared" si="3"/>
        <v>0.17458720000013273</v>
      </c>
      <c r="K6" s="75">
        <v>1285.6639453</v>
      </c>
      <c r="L6" s="75">
        <f t="shared" si="4"/>
        <v>0.50930530000005092</v>
      </c>
      <c r="M6" s="78"/>
      <c r="N6" s="78" t="str">
        <f t="shared" si="5"/>
        <v xml:space="preserve">  </v>
      </c>
      <c r="O6" s="86"/>
      <c r="P6" s="86"/>
      <c r="Q6" s="86"/>
      <c r="R6" s="87"/>
      <c r="S6" s="82"/>
      <c r="T6" s="61"/>
      <c r="U6" s="61"/>
      <c r="V6" s="61"/>
      <c r="W6" s="61"/>
    </row>
    <row r="7" spans="1:23" ht="18.75" customHeight="1">
      <c r="A7" s="83" t="s">
        <v>140</v>
      </c>
      <c r="B7" s="75">
        <v>559.75099999999998</v>
      </c>
      <c r="C7" s="84">
        <v>564.5</v>
      </c>
      <c r="D7" s="85">
        <f t="shared" si="0"/>
        <v>4.7490000000000236</v>
      </c>
      <c r="E7" s="75">
        <v>562.08000000000004</v>
      </c>
      <c r="F7" s="75">
        <f t="shared" si="1"/>
        <v>2.3290000000000646</v>
      </c>
      <c r="G7" s="75">
        <v>562.13488667000001</v>
      </c>
      <c r="H7" s="75">
        <f t="shared" si="2"/>
        <v>2.3838866700000381</v>
      </c>
      <c r="I7" s="75">
        <v>563.31710766000003</v>
      </c>
      <c r="J7" s="75">
        <f t="shared" si="3"/>
        <v>3.566107660000057</v>
      </c>
      <c r="K7" s="75">
        <v>563.30469161999997</v>
      </c>
      <c r="L7" s="75">
        <f t="shared" si="4"/>
        <v>3.5536916199999951</v>
      </c>
      <c r="M7" s="78"/>
      <c r="N7" s="78" t="str">
        <f t="shared" si="5"/>
        <v xml:space="preserve">  </v>
      </c>
      <c r="O7" s="86"/>
      <c r="P7" s="86"/>
      <c r="Q7" s="86"/>
      <c r="R7" s="87"/>
      <c r="S7" s="82"/>
      <c r="T7" s="61"/>
      <c r="U7" s="61"/>
      <c r="V7" s="61"/>
      <c r="W7" s="61"/>
    </row>
    <row r="8" spans="1:23" ht="18.75" customHeight="1">
      <c r="A8" s="83" t="s">
        <v>141</v>
      </c>
      <c r="B8" s="75">
        <v>2990.9247999999998</v>
      </c>
      <c r="C8" s="84">
        <v>2997.47</v>
      </c>
      <c r="D8" s="85">
        <f t="shared" si="0"/>
        <v>6.5452000000000226</v>
      </c>
      <c r="E8" s="75">
        <v>2991.29</v>
      </c>
      <c r="F8" s="75">
        <f t="shared" si="1"/>
        <v>0.36520000000018626</v>
      </c>
      <c r="G8" s="75">
        <v>2991.2204350900001</v>
      </c>
      <c r="H8" s="75">
        <f t="shared" si="2"/>
        <v>0.29563509000035992</v>
      </c>
      <c r="I8" s="75">
        <v>2995.20901013</v>
      </c>
      <c r="J8" s="75">
        <f t="shared" si="3"/>
        <v>4.2842101300002469</v>
      </c>
      <c r="K8" s="75">
        <v>2994.96730007</v>
      </c>
      <c r="L8" s="75">
        <f t="shared" si="4"/>
        <v>4.0425000700001874</v>
      </c>
      <c r="M8" s="78"/>
      <c r="N8" s="78" t="str">
        <f t="shared" si="5"/>
        <v xml:space="preserve">  </v>
      </c>
      <c r="O8" s="86"/>
      <c r="P8" s="86"/>
      <c r="Q8" s="86"/>
      <c r="R8" s="87"/>
      <c r="S8" s="82"/>
      <c r="T8" s="61"/>
      <c r="U8" s="61"/>
      <c r="V8" s="61"/>
      <c r="W8" s="61"/>
    </row>
    <row r="9" spans="1:23" ht="18.75" customHeight="1">
      <c r="A9" s="83" t="s">
        <v>142</v>
      </c>
      <c r="B9" s="75">
        <v>4138.3850000000002</v>
      </c>
      <c r="C9" s="84">
        <v>4146.08</v>
      </c>
      <c r="D9" s="85">
        <f t="shared" si="0"/>
        <v>7.694999999999709</v>
      </c>
      <c r="E9" s="75">
        <v>4140.3599999999997</v>
      </c>
      <c r="F9" s="75">
        <f t="shared" si="1"/>
        <v>1.9749999999994543</v>
      </c>
      <c r="G9" s="75">
        <v>4140.3093109600004</v>
      </c>
      <c r="H9" s="75">
        <f t="shared" si="2"/>
        <v>1.9243109600001844</v>
      </c>
      <c r="I9" s="75">
        <v>4142.1974006500004</v>
      </c>
      <c r="J9" s="75">
        <f t="shared" si="3"/>
        <v>3.8124006500001997</v>
      </c>
      <c r="K9" s="75">
        <v>4140.9645097800003</v>
      </c>
      <c r="L9" s="75">
        <f t="shared" si="4"/>
        <v>2.5795097800000804</v>
      </c>
      <c r="M9" s="78">
        <v>4141.05</v>
      </c>
      <c r="N9" s="78">
        <f t="shared" si="5"/>
        <v>2.6649999999999636</v>
      </c>
      <c r="O9" s="88">
        <v>4142.0200000000004</v>
      </c>
      <c r="P9" s="57" t="s">
        <v>143</v>
      </c>
      <c r="Q9" s="89">
        <v>4142.71</v>
      </c>
      <c r="R9" s="90"/>
      <c r="S9" s="91">
        <v>4141.5200000000004</v>
      </c>
      <c r="T9" s="92" t="s">
        <v>144</v>
      </c>
      <c r="U9" s="61"/>
      <c r="V9" s="61"/>
      <c r="W9" s="61"/>
    </row>
    <row r="10" spans="1:23" ht="18.75" customHeight="1">
      <c r="A10" s="83" t="s">
        <v>145</v>
      </c>
      <c r="B10" s="75">
        <v>4401.2129999999997</v>
      </c>
      <c r="C10" s="84">
        <v>4405.6400000000003</v>
      </c>
      <c r="D10" s="85">
        <f t="shared" si="0"/>
        <v>4.4270000000005894</v>
      </c>
      <c r="E10" s="75">
        <v>4404.7</v>
      </c>
      <c r="F10" s="75">
        <f t="shared" si="1"/>
        <v>3.48700000000008</v>
      </c>
      <c r="G10" s="75">
        <v>4403.8835682999998</v>
      </c>
      <c r="H10" s="75">
        <f t="shared" si="2"/>
        <v>2.6705683000000136</v>
      </c>
      <c r="I10" s="75">
        <v>4402.4705932799998</v>
      </c>
      <c r="J10" s="75">
        <f t="shared" si="3"/>
        <v>1.2575932800000373</v>
      </c>
      <c r="K10" s="75">
        <v>4404.1888351199996</v>
      </c>
      <c r="L10" s="75">
        <f t="shared" si="4"/>
        <v>2.9758351199998287</v>
      </c>
      <c r="M10" s="78"/>
      <c r="N10" s="78" t="str">
        <f t="shared" si="5"/>
        <v xml:space="preserve">  </v>
      </c>
      <c r="O10" s="93">
        <v>4401.2640729300001</v>
      </c>
      <c r="P10" s="93">
        <v>4403.01</v>
      </c>
      <c r="Q10" s="93">
        <v>4403.57</v>
      </c>
      <c r="R10" s="61"/>
      <c r="S10" s="82"/>
      <c r="T10" s="92"/>
      <c r="U10" s="61"/>
      <c r="V10" s="61"/>
      <c r="W10" s="61"/>
    </row>
    <row r="11" spans="1:23" ht="19.5" customHeight="1">
      <c r="A11" s="83" t="s">
        <v>146</v>
      </c>
      <c r="B11" s="75">
        <v>1904.1346000000001</v>
      </c>
      <c r="C11" s="84">
        <v>1919.56</v>
      </c>
      <c r="D11" s="85">
        <f t="shared" si="0"/>
        <v>15.425399999999854</v>
      </c>
      <c r="E11" s="75">
        <v>1891.55</v>
      </c>
      <c r="F11" s="75">
        <f t="shared" si="1"/>
        <v>12.584600000000137</v>
      </c>
      <c r="G11" s="75">
        <v>1899.26754856</v>
      </c>
      <c r="H11" s="75">
        <f t="shared" si="2"/>
        <v>4.8670514400000684</v>
      </c>
      <c r="I11" s="75">
        <v>1912.4777262800001</v>
      </c>
      <c r="J11" s="75">
        <f t="shared" si="3"/>
        <v>8.3431262799999786</v>
      </c>
      <c r="K11" s="75">
        <v>1896.9410570499999</v>
      </c>
      <c r="L11" s="75">
        <f t="shared" si="4"/>
        <v>7.1935429500001646</v>
      </c>
      <c r="M11" s="78"/>
      <c r="N11" s="78" t="str">
        <f t="shared" si="5"/>
        <v xml:space="preserve">  </v>
      </c>
      <c r="O11" s="94"/>
      <c r="P11" s="94"/>
      <c r="Q11" s="94"/>
      <c r="R11" s="95"/>
      <c r="S11" s="82"/>
      <c r="T11" s="61"/>
      <c r="U11" s="61"/>
      <c r="V11" s="61"/>
      <c r="W11" s="61"/>
    </row>
    <row r="12" spans="1:23" ht="19.5" customHeight="1">
      <c r="A12" s="83" t="s">
        <v>147</v>
      </c>
      <c r="B12" s="75">
        <v>2358.5700000000002</v>
      </c>
      <c r="C12" s="84">
        <v>2372.44</v>
      </c>
      <c r="D12" s="85">
        <f t="shared" si="0"/>
        <v>13.869999999999891</v>
      </c>
      <c r="E12" s="75">
        <v>2361.35</v>
      </c>
      <c r="F12" s="75">
        <f t="shared" si="1"/>
        <v>2.7799999999997453</v>
      </c>
      <c r="G12" s="96">
        <v>2361.3084399999998</v>
      </c>
      <c r="H12" s="75">
        <f t="shared" si="2"/>
        <v>2.7384399999996276</v>
      </c>
      <c r="I12" s="75">
        <v>2361.7475478900001</v>
      </c>
      <c r="J12" s="75">
        <f t="shared" si="3"/>
        <v>3.1775478899999143</v>
      </c>
      <c r="K12" s="75">
        <v>2362.7606876700002</v>
      </c>
      <c r="L12" s="75">
        <f t="shared" si="4"/>
        <v>4.1906876699999884</v>
      </c>
      <c r="M12" s="78"/>
      <c r="N12" s="78" t="str">
        <f t="shared" si="5"/>
        <v xml:space="preserve">  </v>
      </c>
      <c r="O12" s="94"/>
      <c r="P12" s="94"/>
      <c r="Q12" s="94"/>
      <c r="R12" s="95"/>
      <c r="S12" s="82"/>
      <c r="T12" s="61"/>
      <c r="U12" s="61"/>
      <c r="V12" s="61"/>
      <c r="W12" s="61"/>
    </row>
    <row r="13" spans="1:23" ht="19.5" customHeight="1">
      <c r="A13" s="83" t="s">
        <v>148</v>
      </c>
      <c r="B13" s="75">
        <v>1580.19</v>
      </c>
      <c r="C13" s="84">
        <v>1606.94</v>
      </c>
      <c r="D13" s="85">
        <f t="shared" si="0"/>
        <v>26.75</v>
      </c>
      <c r="E13" s="75">
        <v>1599.12</v>
      </c>
      <c r="F13" s="75">
        <f t="shared" si="1"/>
        <v>18.929999999999836</v>
      </c>
      <c r="G13" s="75">
        <v>1599.08145448</v>
      </c>
      <c r="H13" s="75">
        <f t="shared" si="2"/>
        <v>18.891454479999993</v>
      </c>
      <c r="I13" s="75">
        <v>1602.2753605</v>
      </c>
      <c r="J13" s="75">
        <f t="shared" si="3"/>
        <v>22.085360499999979</v>
      </c>
      <c r="K13" s="75">
        <v>1595.9976021699999</v>
      </c>
      <c r="L13" s="75">
        <f t="shared" si="4"/>
        <v>15.807602169999882</v>
      </c>
      <c r="M13" s="78"/>
      <c r="N13" s="78" t="str">
        <f t="shared" si="5"/>
        <v xml:space="preserve">  </v>
      </c>
      <c r="O13" s="94"/>
      <c r="P13" s="94"/>
      <c r="Q13" s="94"/>
      <c r="R13" s="95"/>
      <c r="S13" s="82"/>
      <c r="T13" s="61"/>
      <c r="U13" s="61"/>
      <c r="V13" s="61"/>
      <c r="W13" s="61"/>
    </row>
    <row r="14" spans="1:23" ht="19.5" customHeight="1">
      <c r="A14" s="97" t="s">
        <v>149</v>
      </c>
      <c r="B14" s="98">
        <v>1149.2</v>
      </c>
      <c r="C14" s="84">
        <v>1164.43</v>
      </c>
      <c r="D14" s="85">
        <f t="shared" si="0"/>
        <v>15.230000000000018</v>
      </c>
      <c r="E14" s="75">
        <v>1162.6199999999999</v>
      </c>
      <c r="F14" s="75">
        <f t="shared" si="1"/>
        <v>13.419999999999845</v>
      </c>
      <c r="G14" s="99"/>
      <c r="H14" s="99" t="str">
        <f t="shared" si="2"/>
        <v xml:space="preserve">  </v>
      </c>
      <c r="I14" s="99"/>
      <c r="J14" s="99" t="str">
        <f t="shared" si="3"/>
        <v xml:space="preserve">  </v>
      </c>
      <c r="K14" s="75">
        <v>1162.6479526600001</v>
      </c>
      <c r="L14" s="75">
        <f t="shared" si="4"/>
        <v>13.447952660000055</v>
      </c>
      <c r="M14" s="78"/>
      <c r="N14" s="78" t="str">
        <f t="shared" si="5"/>
        <v xml:space="preserve">  </v>
      </c>
      <c r="O14" s="94"/>
      <c r="P14" s="94"/>
      <c r="Q14" s="94"/>
      <c r="R14" s="95"/>
      <c r="S14" s="82"/>
      <c r="T14" s="61"/>
      <c r="U14" s="61"/>
      <c r="V14" s="61"/>
      <c r="W14" s="61"/>
    </row>
    <row r="15" spans="1:23" ht="19.5" customHeight="1">
      <c r="A15" s="97" t="s">
        <v>150</v>
      </c>
      <c r="B15" s="75">
        <v>725.71019999999999</v>
      </c>
      <c r="C15" s="84">
        <v>733.27</v>
      </c>
      <c r="D15" s="85">
        <f t="shared" si="0"/>
        <v>7.5597999999999956</v>
      </c>
      <c r="E15" s="75">
        <v>730.33</v>
      </c>
      <c r="F15" s="75">
        <f t="shared" si="1"/>
        <v>4.6198000000000548</v>
      </c>
      <c r="G15" s="75">
        <v>730.04472810000004</v>
      </c>
      <c r="H15" s="75">
        <f t="shared" si="2"/>
        <v>4.3345281000000568</v>
      </c>
      <c r="I15" s="75">
        <v>732.38216051999996</v>
      </c>
      <c r="J15" s="75">
        <f t="shared" si="3"/>
        <v>6.6719605199999705</v>
      </c>
      <c r="K15" s="75">
        <v>729.59215548999998</v>
      </c>
      <c r="L15" s="75">
        <f t="shared" si="4"/>
        <v>3.8819554899999957</v>
      </c>
      <c r="M15" s="78"/>
      <c r="N15" s="78" t="str">
        <f t="shared" si="5"/>
        <v xml:space="preserve">  </v>
      </c>
      <c r="O15" s="94"/>
      <c r="P15" s="94"/>
      <c r="Q15" s="94"/>
      <c r="R15" s="95"/>
      <c r="S15" s="82"/>
      <c r="T15" s="61"/>
      <c r="U15" s="61"/>
      <c r="V15" s="61"/>
      <c r="W15" s="61"/>
    </row>
    <row r="16" spans="1:23" ht="19.5" customHeight="1">
      <c r="M16" s="100" t="s">
        <v>151</v>
      </c>
      <c r="O16" s="82"/>
      <c r="P16" s="82"/>
      <c r="Q16" s="82"/>
      <c r="R16" s="61"/>
      <c r="S16" s="82"/>
      <c r="T16" s="61"/>
      <c r="U16" s="61"/>
      <c r="V16" s="61"/>
      <c r="W16" s="61"/>
    </row>
    <row r="17" spans="15:23" ht="18.75" customHeight="1">
      <c r="O17" s="82"/>
      <c r="P17" s="82"/>
      <c r="Q17" s="82"/>
      <c r="R17" s="61"/>
      <c r="S17" s="82"/>
      <c r="T17" s="61"/>
      <c r="U17" s="61"/>
      <c r="V17" s="61"/>
      <c r="W17" s="61"/>
    </row>
    <row r="18" spans="15:23" ht="18.75" customHeight="1">
      <c r="O18" s="82"/>
      <c r="P18" s="82"/>
      <c r="Q18" s="82"/>
      <c r="R18" s="61"/>
      <c r="S18" s="82"/>
      <c r="T18" s="61"/>
      <c r="U18" s="61"/>
      <c r="V18" s="61"/>
      <c r="W18" s="61"/>
    </row>
    <row r="19" spans="15:23" ht="18" customHeight="1"/>
    <row r="20" spans="15:23" ht="18" customHeight="1"/>
    <row r="21" spans="15:23" ht="18" customHeight="1"/>
    <row r="22" spans="15:23" ht="18" customHeight="1"/>
    <row r="23" spans="15:23" ht="18" customHeight="1"/>
    <row r="24" spans="15:23" ht="18" customHeight="1"/>
    <row r="25" spans="15:23" ht="18" customHeight="1"/>
    <row r="26" spans="15:23" ht="18" customHeight="1"/>
    <row r="27" spans="15:23" ht="18" customHeight="1"/>
    <row r="28" spans="15:23" ht="18" customHeight="1"/>
    <row r="29" spans="15:23" ht="15.75" customHeight="1"/>
    <row r="30" spans="15:23" ht="15.75" customHeight="1"/>
    <row r="31" spans="15:23" ht="15.75" customHeight="1"/>
    <row r="32" spans="15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H1"/>
    <mergeCell ref="I1:J1"/>
    <mergeCell ref="K1:N1"/>
    <mergeCell ref="C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36"/>
  <sheetViews>
    <sheetView workbookViewId="0"/>
  </sheetViews>
  <sheetFormatPr baseColWidth="10" defaultColWidth="8.83203125" defaultRowHeight="15"/>
  <cols>
    <col min="1" max="2" width="13" bestFit="1" customWidth="1"/>
    <col min="3" max="3" width="13" style="11" bestFit="1" customWidth="1"/>
    <col min="4" max="4" width="16.33203125" style="11" bestFit="1" customWidth="1"/>
    <col min="5" max="5" width="13" bestFit="1" customWidth="1"/>
    <col min="6" max="6" width="13" style="11" bestFit="1" customWidth="1"/>
    <col min="7" max="10" width="13" style="12" bestFit="1" customWidth="1"/>
    <col min="11" max="11" width="13" style="13" bestFit="1" customWidth="1"/>
    <col min="12" max="12" width="13" style="12" bestFit="1" customWidth="1"/>
    <col min="13" max="13" width="19.6640625" style="12" bestFit="1" customWidth="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spans="1:13" ht="18" customHeight="1"/>
    <row r="18" spans="1:13" ht="18" customHeight="1"/>
    <row r="19" spans="1:13" ht="18" customHeight="1"/>
    <row r="20" spans="1:13" ht="18" customHeight="1"/>
    <row r="21" spans="1:13" ht="18" customHeight="1"/>
    <row r="22" spans="1:13" ht="18" customHeight="1"/>
    <row r="23" spans="1:13" ht="18" customHeight="1"/>
    <row r="24" spans="1:13" ht="18" customHeight="1"/>
    <row r="25" spans="1:13" ht="18" customHeight="1"/>
    <row r="26" spans="1:13" ht="18" customHeight="1"/>
    <row r="27" spans="1:13" ht="18" customHeight="1">
      <c r="A27" s="106" t="s">
        <v>82</v>
      </c>
      <c r="B27" s="102"/>
      <c r="C27" s="107"/>
      <c r="D27" s="107"/>
      <c r="E27" s="14"/>
      <c r="F27" s="14"/>
      <c r="G27" s="15"/>
      <c r="H27" s="15"/>
      <c r="I27" s="15"/>
      <c r="J27" s="15"/>
      <c r="K27" s="16"/>
      <c r="L27" s="15"/>
      <c r="M27" s="17" t="s">
        <v>83</v>
      </c>
    </row>
    <row r="28" spans="1:13" ht="18" customHeight="1">
      <c r="A28" s="108" t="s">
        <v>84</v>
      </c>
      <c r="B28" s="102"/>
      <c r="C28" s="18"/>
      <c r="D28" s="18"/>
      <c r="E28" s="18"/>
      <c r="F28" s="18"/>
      <c r="G28" s="19" t="s">
        <v>85</v>
      </c>
      <c r="H28" s="19" t="s">
        <v>86</v>
      </c>
      <c r="I28" s="19" t="s">
        <v>87</v>
      </c>
      <c r="J28" s="19" t="s">
        <v>88</v>
      </c>
      <c r="K28" s="20" t="s">
        <v>89</v>
      </c>
      <c r="L28" s="19" t="s">
        <v>90</v>
      </c>
      <c r="M28" s="21" t="s">
        <v>91</v>
      </c>
    </row>
    <row r="29" spans="1:13" ht="18" customHeight="1">
      <c r="A29" s="109"/>
      <c r="B29" s="102"/>
      <c r="C29" s="23" t="s">
        <v>92</v>
      </c>
      <c r="D29" s="24" t="s">
        <v>93</v>
      </c>
      <c r="E29" s="24"/>
      <c r="F29" s="25" t="s">
        <v>94</v>
      </c>
      <c r="G29" s="26">
        <v>2358.5700000000002</v>
      </c>
      <c r="H29" s="26">
        <v>14.324</v>
      </c>
      <c r="I29" s="26">
        <v>1.9982409999999999</v>
      </c>
      <c r="J29" s="27">
        <v>1.7318E-2</v>
      </c>
      <c r="K29" s="28">
        <v>5.7370000000000001</v>
      </c>
      <c r="L29" s="29">
        <v>1.0976900000000001</v>
      </c>
      <c r="M29" s="30">
        <v>0</v>
      </c>
    </row>
    <row r="30" spans="1:13" ht="18" customHeight="1">
      <c r="A30" s="110" t="s">
        <v>95</v>
      </c>
      <c r="B30" s="102"/>
      <c r="C30" s="22" t="s">
        <v>96</v>
      </c>
      <c r="D30" s="22" t="s">
        <v>97</v>
      </c>
      <c r="E30" s="14"/>
      <c r="F30" s="31" t="s">
        <v>94</v>
      </c>
      <c r="G30" s="30">
        <v>2362.7606900000001</v>
      </c>
      <c r="H30" s="30">
        <v>13.8744511</v>
      </c>
      <c r="I30" s="30">
        <v>1.9937315</v>
      </c>
      <c r="J30" s="32">
        <v>1.696458E-2</v>
      </c>
      <c r="K30" s="33">
        <v>5.6783200000000003</v>
      </c>
      <c r="L30" s="34">
        <v>1.098924</v>
      </c>
      <c r="M30" s="30">
        <v>4.1909999999999998</v>
      </c>
    </row>
    <row r="31" spans="1:13" ht="18" customHeight="1">
      <c r="A31" s="110" t="s">
        <v>95</v>
      </c>
      <c r="B31" s="102"/>
      <c r="C31" s="22" t="s">
        <v>98</v>
      </c>
      <c r="D31" s="22" t="s">
        <v>97</v>
      </c>
      <c r="E31" s="14"/>
      <c r="F31" s="31" t="s">
        <v>94</v>
      </c>
      <c r="G31" s="30">
        <v>2361.74755</v>
      </c>
      <c r="H31" s="30">
        <v>13.755880299999999</v>
      </c>
      <c r="I31" s="30">
        <v>1.9932546799999999</v>
      </c>
      <c r="J31" s="32">
        <v>1.6990870000000002E-2</v>
      </c>
      <c r="K31" s="33">
        <v>5.68</v>
      </c>
      <c r="L31" s="34">
        <v>1.099056</v>
      </c>
      <c r="M31" s="30">
        <v>3.1779999999999999</v>
      </c>
    </row>
    <row r="32" spans="1:13" ht="18" customHeight="1">
      <c r="A32" s="110" t="s">
        <v>95</v>
      </c>
      <c r="B32" s="102"/>
      <c r="C32" s="22" t="s">
        <v>99</v>
      </c>
      <c r="D32" s="22" t="s">
        <v>97</v>
      </c>
      <c r="E32" s="14"/>
      <c r="F32" s="31" t="s">
        <v>94</v>
      </c>
      <c r="G32" s="30">
        <v>2361.3084399999998</v>
      </c>
      <c r="H32" s="30">
        <v>13.888309899999999</v>
      </c>
      <c r="I32" s="30">
        <v>1.9940790399999999</v>
      </c>
      <c r="J32" s="32">
        <v>1.6976970000000001E-2</v>
      </c>
      <c r="K32" s="33">
        <v>5.69</v>
      </c>
      <c r="L32" s="34">
        <v>1.0988279999999999</v>
      </c>
      <c r="M32" s="30">
        <v>2.738</v>
      </c>
    </row>
    <row r="33" spans="1:13" ht="18" customHeight="1">
      <c r="A33" s="111" t="s">
        <v>95</v>
      </c>
      <c r="B33" s="102"/>
      <c r="C33" s="35" t="s">
        <v>99</v>
      </c>
      <c r="D33" s="35" t="s">
        <v>100</v>
      </c>
      <c r="E33" s="36"/>
      <c r="F33" s="37" t="s">
        <v>94</v>
      </c>
      <c r="G33" s="38">
        <v>2361.35</v>
      </c>
      <c r="H33" s="38">
        <v>13.94</v>
      </c>
      <c r="I33" s="38">
        <v>1.994</v>
      </c>
      <c r="J33" s="39">
        <v>1.7000000000000001E-2</v>
      </c>
      <c r="K33" s="40"/>
      <c r="L33" s="41">
        <v>1.0988</v>
      </c>
      <c r="M33" s="42">
        <v>2.78</v>
      </c>
    </row>
    <row r="34" spans="1:13" ht="18" customHeight="1">
      <c r="A34" s="112" t="s">
        <v>95</v>
      </c>
      <c r="B34" s="102"/>
      <c r="C34" s="44" t="s">
        <v>99</v>
      </c>
      <c r="D34" s="44" t="s">
        <v>101</v>
      </c>
      <c r="E34" s="43" t="s">
        <v>102</v>
      </c>
      <c r="F34" s="45" t="s">
        <v>94</v>
      </c>
      <c r="G34" s="46">
        <v>2372.44</v>
      </c>
      <c r="H34" s="47"/>
      <c r="I34" s="47"/>
      <c r="J34" s="46">
        <v>1.746E-2</v>
      </c>
      <c r="K34" s="48"/>
      <c r="L34" s="46">
        <v>1.09649</v>
      </c>
      <c r="M34" s="49">
        <v>13.87</v>
      </c>
    </row>
    <row r="35" spans="1:13" ht="18" customHeight="1">
      <c r="A35" s="112" t="s">
        <v>95</v>
      </c>
      <c r="B35" s="102"/>
      <c r="C35" s="44" t="s">
        <v>103</v>
      </c>
      <c r="D35" s="44" t="s">
        <v>101</v>
      </c>
      <c r="E35" s="43" t="s">
        <v>104</v>
      </c>
      <c r="F35" s="45" t="s">
        <v>94</v>
      </c>
      <c r="G35" s="46">
        <v>2373.73</v>
      </c>
      <c r="H35" s="47"/>
      <c r="I35" s="47"/>
      <c r="J35" s="46">
        <v>1.7469999999999999E-2</v>
      </c>
      <c r="K35" s="48"/>
      <c r="L35" s="46">
        <v>1.0962700000000001</v>
      </c>
      <c r="M35" s="49">
        <v>15.16</v>
      </c>
    </row>
    <row r="36" spans="1:13" ht="18" customHeight="1">
      <c r="A36" s="50" t="s">
        <v>95</v>
      </c>
      <c r="B36" s="51"/>
      <c r="C36" s="52" t="s">
        <v>105</v>
      </c>
      <c r="D36" s="52" t="s">
        <v>106</v>
      </c>
      <c r="E36" s="51"/>
      <c r="F36" s="52" t="s">
        <v>84</v>
      </c>
      <c r="G36" s="53"/>
      <c r="H36" s="15"/>
      <c r="I36" s="15"/>
      <c r="J36" s="15"/>
      <c r="K36" s="16"/>
      <c r="L36" s="15"/>
      <c r="M36" s="15"/>
    </row>
  </sheetData>
  <mergeCells count="9">
    <mergeCell ref="A32:B32"/>
    <mergeCell ref="A33:B33"/>
    <mergeCell ref="A34:B34"/>
    <mergeCell ref="A35:B35"/>
    <mergeCell ref="A27:D27"/>
    <mergeCell ref="A28:B28"/>
    <mergeCell ref="A29:B29"/>
    <mergeCell ref="A30:B30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71"/>
  <sheetViews>
    <sheetView tabSelected="1" topLeftCell="A45" workbookViewId="0">
      <selection activeCell="D67" sqref="D67"/>
    </sheetView>
  </sheetViews>
  <sheetFormatPr baseColWidth="10" defaultColWidth="8.83203125" defaultRowHeight="15"/>
  <cols>
    <col min="1" max="1" width="22" bestFit="1" customWidth="1"/>
    <col min="2" max="3" width="18" style="7" bestFit="1" customWidth="1"/>
    <col min="4" max="4" width="18" style="8" bestFit="1" customWidth="1"/>
    <col min="5" max="5" width="18" style="7" bestFit="1" customWidth="1"/>
    <col min="6" max="6" width="18" style="8" bestFit="1" customWidth="1"/>
    <col min="7" max="7" width="18" style="7" bestFit="1" customWidth="1"/>
    <col min="8" max="8" width="18" style="8" bestFit="1" customWidth="1"/>
    <col min="9" max="9" width="18" style="7" bestFit="1" customWidth="1"/>
    <col min="10" max="10" width="18" style="8" bestFit="1" customWidth="1"/>
    <col min="11" max="11" width="18" style="7" bestFit="1" customWidth="1"/>
    <col min="12" max="12" width="18" style="8" bestFit="1" customWidth="1"/>
    <col min="13" max="13" width="18" style="7" bestFit="1" customWidth="1"/>
    <col min="14" max="14" width="18" style="8" bestFit="1" customWidth="1"/>
    <col min="15" max="15" width="18" style="7" bestFit="1" customWidth="1"/>
    <col min="16" max="16" width="18" style="8" bestFit="1" customWidth="1"/>
  </cols>
  <sheetData>
    <row r="1" spans="1:16" ht="18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</row>
    <row r="2" spans="1:16" ht="18" customHeight="1">
      <c r="A2" s="4" t="s">
        <v>16</v>
      </c>
      <c r="B2" s="5">
        <v>4.5252259905383596</v>
      </c>
      <c r="C2" s="5">
        <v>4.5273479999999999</v>
      </c>
      <c r="D2" s="6">
        <v>0.46892894765394388</v>
      </c>
      <c r="E2" s="5">
        <v>4.5417350195425046</v>
      </c>
      <c r="F2" s="6">
        <v>3.648221997898502</v>
      </c>
      <c r="G2" s="5">
        <v>4.536662986705057</v>
      </c>
      <c r="H2" s="6">
        <v>2.527386740598081</v>
      </c>
      <c r="I2" s="5">
        <v>4.53941200266331</v>
      </c>
      <c r="J2" s="6">
        <v>3.1348737399216229</v>
      </c>
      <c r="K2" s="5">
        <v>4.5402301370503269</v>
      </c>
      <c r="L2" s="6">
        <v>3.3156678900320129</v>
      </c>
      <c r="M2" s="5">
        <v>4.5389234844739574</v>
      </c>
      <c r="N2" s="6">
        <v>3.026919310601627</v>
      </c>
    </row>
    <row r="3" spans="1:16" ht="18" customHeight="1">
      <c r="A3" s="4" t="s">
        <v>17</v>
      </c>
      <c r="B3" s="5">
        <v>7.8905254907652376</v>
      </c>
      <c r="C3" s="5">
        <v>7.9157729999999997</v>
      </c>
      <c r="D3" s="6">
        <v>3.1997246906192558</v>
      </c>
      <c r="E3" s="5">
        <v>7.9493111697752958</v>
      </c>
      <c r="F3" s="6">
        <v>7.4501602052814766</v>
      </c>
      <c r="G3" s="5">
        <v>7.9371608772504674</v>
      </c>
      <c r="H3" s="6">
        <v>5.9103017333649106</v>
      </c>
      <c r="I3" s="5">
        <v>7.9437456521940737</v>
      </c>
      <c r="J3" s="6">
        <v>6.7448183889809261</v>
      </c>
      <c r="K3" s="5">
        <v>7.9457056305996998</v>
      </c>
      <c r="L3" s="6">
        <v>6.9932148244173238</v>
      </c>
      <c r="M3" s="5">
        <v>7.9425753869208426</v>
      </c>
      <c r="N3" s="6">
        <v>6.596505672090184</v>
      </c>
    </row>
    <row r="4" spans="1:16" ht="18" customHeight="1">
      <c r="A4" s="4" t="s">
        <v>18</v>
      </c>
      <c r="B4" s="5">
        <v>19.003720667220701</v>
      </c>
      <c r="C4" s="5">
        <v>18.985189999999999</v>
      </c>
      <c r="D4" s="6">
        <v>-0.97510732478097006</v>
      </c>
      <c r="E4" s="5">
        <v>19.053151255354301</v>
      </c>
      <c r="F4" s="6">
        <v>2.6011005423196911</v>
      </c>
      <c r="G4" s="5">
        <v>18.999639105508798</v>
      </c>
      <c r="H4" s="6">
        <v>-0.21477697885444499</v>
      </c>
      <c r="I4" s="5">
        <v>18.982678175412278</v>
      </c>
      <c r="J4" s="6">
        <v>-1.1072827356758239</v>
      </c>
      <c r="K4" s="5">
        <v>18.974367442493641</v>
      </c>
      <c r="L4" s="6">
        <v>-1.5446040931178271</v>
      </c>
      <c r="M4" s="5">
        <v>18.973670740594521</v>
      </c>
      <c r="N4" s="6">
        <v>-1.5812654349318791</v>
      </c>
      <c r="O4" s="5">
        <v>18.98385377916107</v>
      </c>
      <c r="P4" s="6">
        <v>-1.0454209682157749</v>
      </c>
    </row>
    <row r="5" spans="1:16" ht="18" customHeight="1">
      <c r="A5" s="4" t="s">
        <v>19</v>
      </c>
      <c r="B5" s="5">
        <v>67.816398989229583</v>
      </c>
      <c r="C5" s="5">
        <v>67.935280000000006</v>
      </c>
      <c r="D5" s="6">
        <v>1.7529832391912039</v>
      </c>
      <c r="E5" s="5">
        <v>68.256357222345869</v>
      </c>
      <c r="F5" s="6">
        <v>6.4874903367570296</v>
      </c>
      <c r="G5" s="5">
        <v>67.982179824380992</v>
      </c>
      <c r="H5" s="6">
        <v>2.444553789677598</v>
      </c>
      <c r="I5" s="5">
        <v>67.895347405358237</v>
      </c>
      <c r="J5" s="6">
        <v>1.1641493400614229</v>
      </c>
      <c r="K5" s="5">
        <v>67.852812354542152</v>
      </c>
      <c r="L5" s="6">
        <v>0.53694041345887711</v>
      </c>
      <c r="M5" s="5">
        <v>67.849246938681134</v>
      </c>
      <c r="N5" s="6">
        <v>0.48436587523273522</v>
      </c>
      <c r="O5" s="5">
        <v>67.901364895367465</v>
      </c>
      <c r="P5" s="6">
        <v>1.25288141812684</v>
      </c>
    </row>
    <row r="6" spans="1:16" ht="18" customHeight="1">
      <c r="A6" s="4" t="s">
        <v>20</v>
      </c>
      <c r="B6" s="5">
        <v>8.9690023701598225</v>
      </c>
      <c r="C6" s="5">
        <v>9.0037769999999995</v>
      </c>
      <c r="D6" s="6">
        <v>3.877201544273571</v>
      </c>
      <c r="E6" s="5">
        <v>9.0135147959597077</v>
      </c>
      <c r="F6" s="6">
        <v>4.9629182781776926</v>
      </c>
      <c r="G6" s="5">
        <v>8.9983490380581763</v>
      </c>
      <c r="H6" s="6">
        <v>3.2720102735161709</v>
      </c>
      <c r="I6" s="5">
        <v>8.996729260358773</v>
      </c>
      <c r="J6" s="6">
        <v>3.091412963742632</v>
      </c>
      <c r="K6" s="5">
        <v>8.9721224075210539</v>
      </c>
      <c r="L6" s="6">
        <v>0.34786894154604359</v>
      </c>
      <c r="M6" s="5">
        <v>8.9716575593651609</v>
      </c>
      <c r="N6" s="6">
        <v>0.29604064039187511</v>
      </c>
    </row>
    <row r="7" spans="1:16" ht="18" customHeight="1">
      <c r="A7" s="4" t="s">
        <v>21</v>
      </c>
      <c r="B7" s="5">
        <v>23.41367633577012</v>
      </c>
      <c r="C7" s="5">
        <v>23.544280000000001</v>
      </c>
      <c r="D7" s="6">
        <v>5.5780930067080146</v>
      </c>
      <c r="E7" s="5">
        <v>23.577488759926609</v>
      </c>
      <c r="F7" s="6">
        <v>6.9964418149160794</v>
      </c>
      <c r="G7" s="5">
        <v>23.520552879330989</v>
      </c>
      <c r="H7" s="6">
        <v>4.5647057740178969</v>
      </c>
      <c r="I7" s="5">
        <v>23.514474316488879</v>
      </c>
      <c r="J7" s="6">
        <v>4.3050898659929606</v>
      </c>
      <c r="K7" s="5">
        <v>23.422190504695511</v>
      </c>
      <c r="L7" s="6">
        <v>0.36364083979357809</v>
      </c>
      <c r="M7" s="5">
        <v>23.420448231051981</v>
      </c>
      <c r="N7" s="6">
        <v>0.28922819230724101</v>
      </c>
    </row>
    <row r="8" spans="1:16" ht="18" customHeight="1">
      <c r="A8" s="4" t="s">
        <v>22</v>
      </c>
      <c r="B8" s="5">
        <v>1.0058748273272231</v>
      </c>
      <c r="C8" s="5">
        <v>1.00589</v>
      </c>
      <c r="D8" s="6">
        <v>1.5084056549662739E-2</v>
      </c>
      <c r="E8" s="5">
        <v>1.0058879023575269</v>
      </c>
      <c r="F8" s="6">
        <v>1.2998665389805221E-2</v>
      </c>
      <c r="G8" s="5">
        <v>1.005883368210813</v>
      </c>
      <c r="H8" s="6">
        <v>8.4910004285715431E-3</v>
      </c>
      <c r="I8" s="5">
        <v>1.0058828834911979</v>
      </c>
      <c r="J8" s="6">
        <v>8.0091118260120428E-3</v>
      </c>
      <c r="K8" s="5">
        <v>1.0058755091497551</v>
      </c>
      <c r="L8" s="6">
        <v>6.778403372744707E-4</v>
      </c>
      <c r="M8" s="5">
        <v>1.0058753696470031</v>
      </c>
      <c r="N8" s="6">
        <v>5.3915235343712472E-4</v>
      </c>
    </row>
    <row r="9" spans="1:16" ht="18" customHeight="1">
      <c r="A9" s="4" t="s">
        <v>23</v>
      </c>
      <c r="B9" s="5">
        <v>9.0438127071210701</v>
      </c>
      <c r="C9" s="5">
        <v>9.0783050000000003</v>
      </c>
      <c r="D9" s="6">
        <v>3.8139105702367169</v>
      </c>
      <c r="E9" s="5">
        <v>9.0880016283914404</v>
      </c>
      <c r="F9" s="6">
        <v>4.8860942504455132</v>
      </c>
      <c r="G9" s="5">
        <v>9.0726534999512047</v>
      </c>
      <c r="H9" s="6">
        <v>3.1890081942348809</v>
      </c>
      <c r="I9" s="5">
        <v>9.0710142498848505</v>
      </c>
      <c r="J9" s="6">
        <v>3.0077516689793882</v>
      </c>
      <c r="K9" s="5">
        <v>9.0461117182190023</v>
      </c>
      <c r="L9" s="6">
        <v>0.25420817219290109</v>
      </c>
      <c r="M9" s="5">
        <v>9.0456412868450151</v>
      </c>
      <c r="N9" s="6">
        <v>0.20219124203060879</v>
      </c>
    </row>
    <row r="10" spans="1:16" ht="18" customHeight="1">
      <c r="A10" s="4" t="s">
        <v>24</v>
      </c>
      <c r="B10" s="5">
        <v>23.64758520065023</v>
      </c>
      <c r="C10" s="5">
        <v>23.77984</v>
      </c>
      <c r="D10" s="6">
        <v>5.5927401562395902</v>
      </c>
      <c r="E10" s="5">
        <v>23.81355564840625</v>
      </c>
      <c r="F10" s="6">
        <v>7.0184945459657504</v>
      </c>
      <c r="G10" s="5">
        <v>23.755869296909779</v>
      </c>
      <c r="H10" s="6">
        <v>4.5790762710338653</v>
      </c>
      <c r="I10" s="5">
        <v>23.749710638525659</v>
      </c>
      <c r="J10" s="6">
        <v>4.318641290808193</v>
      </c>
      <c r="K10" s="5">
        <v>23.656211443452921</v>
      </c>
      <c r="L10" s="6">
        <v>0.36478324232675208</v>
      </c>
      <c r="M10" s="5">
        <v>23.654446235076751</v>
      </c>
      <c r="N10" s="6">
        <v>0.29013678852669589</v>
      </c>
    </row>
    <row r="11" spans="1:16" ht="18" customHeight="1">
      <c r="A11" s="4" t="s">
        <v>25</v>
      </c>
      <c r="B11" s="5">
        <v>1.0201510049287199</v>
      </c>
      <c r="C11" s="5">
        <v>1.0203390000000001</v>
      </c>
      <c r="D11" s="6">
        <v>0.18428161161624881</v>
      </c>
      <c r="E11" s="5">
        <v>1.020325660461592</v>
      </c>
      <c r="F11" s="6">
        <v>0.17120556861511579</v>
      </c>
      <c r="G11" s="5">
        <v>1.0202824361938321</v>
      </c>
      <c r="H11" s="6">
        <v>0.1288351082116054</v>
      </c>
      <c r="I11" s="5">
        <v>1.02028198250694</v>
      </c>
      <c r="J11" s="6">
        <v>0.12839038297945179</v>
      </c>
      <c r="K11" s="5">
        <v>1.020237232793884</v>
      </c>
      <c r="L11" s="6">
        <v>8.4524609344164822E-2</v>
      </c>
      <c r="M11" s="5">
        <v>1.020239238287546</v>
      </c>
      <c r="N11" s="6">
        <v>8.6490488564772469E-2</v>
      </c>
    </row>
    <row r="12" spans="1:16" ht="18" customHeight="1">
      <c r="A12" s="4" t="s">
        <v>26</v>
      </c>
      <c r="B12" s="5">
        <v>1.109008124657777</v>
      </c>
      <c r="C12" s="5">
        <v>1.1097360000000001</v>
      </c>
      <c r="D12" s="6">
        <v>0.65633003585725669</v>
      </c>
      <c r="E12" s="5">
        <v>1.1096871977251479</v>
      </c>
      <c r="F12" s="6">
        <v>0.61232470012789486</v>
      </c>
      <c r="G12" s="5">
        <v>1.109163660208675</v>
      </c>
      <c r="H12" s="6">
        <v>0.14024744042878329</v>
      </c>
      <c r="I12" s="5">
        <v>1.109213256259495</v>
      </c>
      <c r="J12" s="6">
        <v>0.18496852922550999</v>
      </c>
      <c r="K12" s="5">
        <v>1.109144199723582</v>
      </c>
      <c r="L12" s="6">
        <v>0.12269979162398829</v>
      </c>
      <c r="M12" s="5">
        <v>1.109142165327363</v>
      </c>
      <c r="N12" s="6">
        <v>0.12086536302640929</v>
      </c>
    </row>
    <row r="13" spans="1:16" ht="18" customHeight="1">
      <c r="A13" s="4" t="s">
        <v>27</v>
      </c>
      <c r="B13" s="5">
        <v>1.2321211174419231</v>
      </c>
      <c r="C13" s="5">
        <v>1.233754</v>
      </c>
      <c r="D13" s="6">
        <v>1.3252614008165191</v>
      </c>
      <c r="E13" s="5">
        <v>1.233643591137318</v>
      </c>
      <c r="F13" s="6">
        <v>1.2356526268745429</v>
      </c>
      <c r="G13" s="5">
        <v>1.232469742576463</v>
      </c>
      <c r="H13" s="6">
        <v>0.28294713044368591</v>
      </c>
      <c r="I13" s="5">
        <v>1.2325809200950371</v>
      </c>
      <c r="J13" s="6">
        <v>0.37317975205926462</v>
      </c>
      <c r="K13" s="5">
        <v>1.2324261201531219</v>
      </c>
      <c r="L13" s="6">
        <v>0.24754279987691161</v>
      </c>
      <c r="M13" s="5">
        <v>1.232421559916429</v>
      </c>
      <c r="N13" s="6">
        <v>0.24384167291054351</v>
      </c>
    </row>
    <row r="14" spans="1:16" ht="18" customHeight="1">
      <c r="A14" s="4" t="s">
        <v>28</v>
      </c>
      <c r="B14" s="5">
        <v>1.0715646380794981</v>
      </c>
      <c r="C14" s="5">
        <v>1.072187</v>
      </c>
      <c r="D14" s="6">
        <v>0.58079736712642871</v>
      </c>
      <c r="E14" s="5">
        <v>1.072166672644038</v>
      </c>
      <c r="F14" s="6">
        <v>0.56182757730767208</v>
      </c>
      <c r="G14" s="5">
        <v>1.071889041206231</v>
      </c>
      <c r="H14" s="6">
        <v>0.30273780526603022</v>
      </c>
      <c r="I14" s="5">
        <v>1.071280241751335</v>
      </c>
      <c r="J14" s="6">
        <v>-0.26540286797107332</v>
      </c>
      <c r="K14" s="5">
        <v>1.071069075708061</v>
      </c>
      <c r="L14" s="6">
        <v>-0.4624661488686389</v>
      </c>
      <c r="M14" s="5">
        <v>1.0713713825661251</v>
      </c>
      <c r="N14" s="6">
        <v>-0.1803489089742403</v>
      </c>
    </row>
    <row r="15" spans="1:16" ht="18" customHeight="1">
      <c r="A15" s="4" t="s">
        <v>29</v>
      </c>
      <c r="B15" s="5">
        <v>1.140098774926517</v>
      </c>
      <c r="C15" s="5">
        <v>1.1413789999999999</v>
      </c>
      <c r="D15" s="6">
        <v>1.122907156500913</v>
      </c>
      <c r="E15" s="5">
        <v>1.1413140763626879</v>
      </c>
      <c r="F15" s="6">
        <v>1.065961531490295</v>
      </c>
      <c r="G15" s="5">
        <v>1.140753557588843</v>
      </c>
      <c r="H15" s="6">
        <v>0.57432099457169672</v>
      </c>
      <c r="I15" s="5">
        <v>1.1395248891204051</v>
      </c>
      <c r="J15" s="6">
        <v>-0.50336498795850737</v>
      </c>
      <c r="K15" s="5">
        <v>1.1390988637175641</v>
      </c>
      <c r="L15" s="6">
        <v>-0.87703910480723224</v>
      </c>
      <c r="M15" s="5">
        <v>1.139708788082118</v>
      </c>
      <c r="N15" s="6">
        <v>-0.34206408512628511</v>
      </c>
    </row>
    <row r="16" spans="1:16" ht="18" customHeight="1">
      <c r="A16" s="4" t="s">
        <v>30</v>
      </c>
      <c r="B16" s="5">
        <v>1.0930957888156889</v>
      </c>
      <c r="C16" s="5">
        <v>1.093936</v>
      </c>
      <c r="D16" s="6">
        <v>0.76865284168847037</v>
      </c>
      <c r="E16" s="5">
        <v>1.0938867308014431</v>
      </c>
      <c r="F16" s="6">
        <v>0.72357975746213221</v>
      </c>
      <c r="G16" s="5">
        <v>1.0935219678174939</v>
      </c>
      <c r="H16" s="6">
        <v>0.38988257585980979</v>
      </c>
      <c r="I16" s="5">
        <v>1.0927221985980351</v>
      </c>
      <c r="J16" s="6">
        <v>-0.3417726254885729</v>
      </c>
      <c r="K16" s="5">
        <v>1.0924448240008791</v>
      </c>
      <c r="L16" s="6">
        <v>-0.59552403501235163</v>
      </c>
      <c r="M16" s="5">
        <v>1.092841920372482</v>
      </c>
      <c r="N16" s="6">
        <v>-0.2322472063335442</v>
      </c>
    </row>
    <row r="17" spans="1:14" ht="18" customHeight="1">
      <c r="A17" s="4" t="s">
        <v>31</v>
      </c>
      <c r="B17" s="5">
        <v>1.172830131890001</v>
      </c>
      <c r="C17" s="5">
        <v>1.1744490000000001</v>
      </c>
      <c r="D17" s="6">
        <v>1.3803091052843059</v>
      </c>
      <c r="E17" s="5">
        <v>1.174350355423319</v>
      </c>
      <c r="F17" s="6">
        <v>1.296200951853673</v>
      </c>
      <c r="G17" s="5">
        <v>1.173649157683841</v>
      </c>
      <c r="H17" s="6">
        <v>0.69833283744225827</v>
      </c>
      <c r="I17" s="5">
        <v>1.1721123782898639</v>
      </c>
      <c r="J17" s="6">
        <v>-0.61198427685303414</v>
      </c>
      <c r="K17" s="5">
        <v>1.171579602766436</v>
      </c>
      <c r="L17" s="6">
        <v>-1.06624914347045</v>
      </c>
      <c r="M17" s="5">
        <v>1.172342370504633</v>
      </c>
      <c r="N17" s="6">
        <v>-0.41588408423758988</v>
      </c>
    </row>
    <row r="18" spans="1:14" ht="18" customHeight="1">
      <c r="A18" s="4" t="s">
        <v>32</v>
      </c>
      <c r="B18" s="5">
        <v>1.249321049456884</v>
      </c>
      <c r="C18" s="5">
        <v>1.25169</v>
      </c>
      <c r="D18" s="6">
        <v>1.8961903700776741</v>
      </c>
      <c r="E18" s="5">
        <v>1.2515826760062001</v>
      </c>
      <c r="F18" s="6">
        <v>1.8102845143755151</v>
      </c>
      <c r="G18" s="5">
        <v>1.2505393645076359</v>
      </c>
      <c r="H18" s="6">
        <v>0.97518172072828258</v>
      </c>
      <c r="I18" s="5">
        <v>1.248253655678776</v>
      </c>
      <c r="J18" s="6">
        <v>-0.85437908740330815</v>
      </c>
      <c r="K18" s="5">
        <v>1.247461516023247</v>
      </c>
      <c r="L18" s="6">
        <v>-1.488435206023071</v>
      </c>
      <c r="M18" s="5">
        <v>1.2485956560875049</v>
      </c>
      <c r="N18" s="6">
        <v>-0.5806300707848524</v>
      </c>
    </row>
    <row r="19" spans="1:14" ht="18" customHeight="1">
      <c r="A19" s="4" t="s">
        <v>33</v>
      </c>
      <c r="B19" s="5">
        <v>1.1237086622436421</v>
      </c>
      <c r="C19" s="5">
        <v>1.126047</v>
      </c>
      <c r="D19" s="6">
        <v>2.0809110358630698</v>
      </c>
      <c r="E19" s="5">
        <v>1.1259462785023959</v>
      </c>
      <c r="F19" s="6">
        <v>1.9912779298914649</v>
      </c>
      <c r="G19" s="5">
        <v>1.12555576461508</v>
      </c>
      <c r="H19" s="6">
        <v>1.6437555689472569</v>
      </c>
      <c r="I19" s="5">
        <v>1.1250304175754151</v>
      </c>
      <c r="J19" s="6">
        <v>1.1762437864751329</v>
      </c>
      <c r="K19" s="5">
        <v>1.1252916812168841</v>
      </c>
      <c r="L19" s="6">
        <v>1.4087450123248659</v>
      </c>
      <c r="M19" s="5">
        <v>1.1252884555876499</v>
      </c>
      <c r="N19" s="6">
        <v>1.4058744913948951</v>
      </c>
    </row>
    <row r="20" spans="1:14" ht="18" customHeight="1">
      <c r="A20" s="4" t="s">
        <v>34</v>
      </c>
      <c r="B20" s="5">
        <v>1.1318628588078281</v>
      </c>
      <c r="C20" s="5">
        <v>1.1343510000000001</v>
      </c>
      <c r="D20" s="6">
        <v>2.1982709060644852</v>
      </c>
      <c r="E20" s="5">
        <v>1.134256562824645</v>
      </c>
      <c r="F20" s="6">
        <v>2.114835731369987</v>
      </c>
      <c r="G20" s="5">
        <v>1.133838786889861</v>
      </c>
      <c r="H20" s="6">
        <v>1.7457310014696059</v>
      </c>
      <c r="I20" s="5">
        <v>1.133276779179603</v>
      </c>
      <c r="J20" s="6">
        <v>1.249197604438034</v>
      </c>
      <c r="K20" s="5">
        <v>1.1335562727369859</v>
      </c>
      <c r="L20" s="6">
        <v>1.496129956010831</v>
      </c>
      <c r="M20" s="5">
        <v>1.133552822011918</v>
      </c>
      <c r="N20" s="6">
        <v>1.493081242960923</v>
      </c>
    </row>
    <row r="21" spans="1:14" ht="18" customHeight="1">
      <c r="A21" s="4" t="s">
        <v>35</v>
      </c>
      <c r="B21" s="5">
        <v>1.197121321080302</v>
      </c>
      <c r="C21" s="5">
        <v>1.200942</v>
      </c>
      <c r="D21" s="6">
        <v>3.1915553189300421</v>
      </c>
      <c r="E21" s="5">
        <v>1.2008003302952419</v>
      </c>
      <c r="F21" s="6">
        <v>3.073213341167758</v>
      </c>
      <c r="G21" s="5">
        <v>1.200157975257546</v>
      </c>
      <c r="H21" s="6">
        <v>2.5366302677696111</v>
      </c>
      <c r="I21" s="5">
        <v>1.1992940243173189</v>
      </c>
      <c r="J21" s="6">
        <v>1.814939888512255</v>
      </c>
      <c r="K21" s="5">
        <v>1.199723653844045</v>
      </c>
      <c r="L21" s="6">
        <v>2.1738254243060622</v>
      </c>
      <c r="M21" s="5">
        <v>1.1997183491956021</v>
      </c>
      <c r="N21" s="6">
        <v>2.169394254007051</v>
      </c>
    </row>
    <row r="22" spans="1:14" ht="18" customHeight="1">
      <c r="A22" s="4" t="s">
        <v>36</v>
      </c>
      <c r="B22" s="5">
        <v>1.267171683160438</v>
      </c>
      <c r="C22" s="5">
        <v>1.272497</v>
      </c>
      <c r="D22" s="6">
        <v>4.2025219710403681</v>
      </c>
      <c r="E22" s="5">
        <v>1.2722990655182049</v>
      </c>
      <c r="F22" s="6">
        <v>4.0463201836857374</v>
      </c>
      <c r="G22" s="5">
        <v>1.2714034663455629</v>
      </c>
      <c r="H22" s="6">
        <v>3.339549992603096</v>
      </c>
      <c r="I22" s="5">
        <v>1.2701991474434611</v>
      </c>
      <c r="J22" s="6">
        <v>2.3891508335096492</v>
      </c>
      <c r="K22" s="5">
        <v>1.270798002471355</v>
      </c>
      <c r="L22" s="6">
        <v>2.861742697621533</v>
      </c>
      <c r="M22" s="5">
        <v>1.270790607977399</v>
      </c>
      <c r="N22" s="6">
        <v>2.8559072658056999</v>
      </c>
    </row>
    <row r="23" spans="1:14" ht="18" customHeight="1">
      <c r="A23" s="4" t="s">
        <v>37</v>
      </c>
      <c r="B23" s="5">
        <v>1.01458577256845</v>
      </c>
      <c r="C23" s="5">
        <v>1.014751</v>
      </c>
      <c r="D23" s="6">
        <v>0.16285210774372119</v>
      </c>
      <c r="E23" s="5">
        <v>1.0147406648936159</v>
      </c>
      <c r="F23" s="6">
        <v>0.1526655797408368</v>
      </c>
      <c r="G23" s="5">
        <v>1.0147226164953129</v>
      </c>
      <c r="H23" s="6">
        <v>0.13487664676775701</v>
      </c>
      <c r="I23" s="5">
        <v>1.014665902113765</v>
      </c>
      <c r="J23" s="6">
        <v>7.8977596060634328E-2</v>
      </c>
      <c r="K23" s="5">
        <v>1.014680900486324</v>
      </c>
      <c r="L23" s="6">
        <v>9.3760350722013663E-2</v>
      </c>
      <c r="M23" s="5">
        <v>1.014675101658014</v>
      </c>
      <c r="N23" s="6">
        <v>8.8044886868153843E-2</v>
      </c>
    </row>
    <row r="24" spans="1:14" ht="18" customHeight="1">
      <c r="A24" s="4" t="s">
        <v>38</v>
      </c>
      <c r="B24" s="5">
        <v>1.0285720600386821</v>
      </c>
      <c r="C24" s="5">
        <v>1.0289200000000001</v>
      </c>
      <c r="D24" s="6">
        <v>0.3382747547166543</v>
      </c>
      <c r="E24" s="5">
        <v>1.028877572988639</v>
      </c>
      <c r="F24" s="6">
        <v>0.29702629677250292</v>
      </c>
      <c r="G24" s="5">
        <v>1.0288419716704329</v>
      </c>
      <c r="H24" s="6">
        <v>0.26241392532198787</v>
      </c>
      <c r="I24" s="5">
        <v>1.028730103770261</v>
      </c>
      <c r="J24" s="6">
        <v>0.15365353359174419</v>
      </c>
      <c r="K24" s="5">
        <v>1.0287596871632181</v>
      </c>
      <c r="L24" s="6">
        <v>0.18241514797607861</v>
      </c>
      <c r="M24" s="5">
        <v>1.0287482492721289</v>
      </c>
      <c r="N24" s="6">
        <v>0.17129498291102929</v>
      </c>
    </row>
    <row r="25" spans="1:14" ht="18" customHeight="1">
      <c r="A25" s="4" t="s">
        <v>39</v>
      </c>
      <c r="B25" s="5">
        <v>1.055082728543782</v>
      </c>
      <c r="C25" s="5">
        <v>1.0557799999999999</v>
      </c>
      <c r="D25" s="6">
        <v>0.66086898908869751</v>
      </c>
      <c r="E25" s="5">
        <v>1.055679267186576</v>
      </c>
      <c r="F25" s="6">
        <v>0.56539513599803204</v>
      </c>
      <c r="G25" s="5">
        <v>1.055609744508005</v>
      </c>
      <c r="H25" s="6">
        <v>0.49950202952325679</v>
      </c>
      <c r="I25" s="5">
        <v>1.055391301680606</v>
      </c>
      <c r="J25" s="6">
        <v>0.2924634518936724</v>
      </c>
      <c r="K25" s="5">
        <v>1.0554490666566001</v>
      </c>
      <c r="L25" s="6">
        <v>0.34721269044277259</v>
      </c>
      <c r="M25" s="5">
        <v>1.055426732681304</v>
      </c>
      <c r="N25" s="6">
        <v>0.32604470551477288</v>
      </c>
    </row>
    <row r="26" spans="1:14" ht="18" customHeight="1">
      <c r="A26" s="4" t="s">
        <v>40</v>
      </c>
      <c r="B26" s="5">
        <v>1.029499886118203</v>
      </c>
      <c r="C26" s="5">
        <v>1.029855</v>
      </c>
      <c r="D26" s="6">
        <v>0.34493824291280178</v>
      </c>
      <c r="E26" s="5">
        <v>1.029815462813831</v>
      </c>
      <c r="F26" s="6">
        <v>0.30653397818030492</v>
      </c>
      <c r="G26" s="5">
        <v>1.0297786886164351</v>
      </c>
      <c r="H26" s="6">
        <v>0.27081352993938651</v>
      </c>
      <c r="I26" s="5">
        <v>1.0296631355129431</v>
      </c>
      <c r="J26" s="6">
        <v>0.15857155201367171</v>
      </c>
      <c r="K26" s="5">
        <v>1.0296936934163941</v>
      </c>
      <c r="L26" s="6">
        <v>0.1882538315969807</v>
      </c>
      <c r="M26" s="5">
        <v>1.029681878744874</v>
      </c>
      <c r="N26" s="6">
        <v>0.17677770451885819</v>
      </c>
    </row>
    <row r="27" spans="1:14" ht="18" customHeight="1">
      <c r="A27" s="4" t="s">
        <v>41</v>
      </c>
      <c r="B27" s="5">
        <v>1.043804262452489</v>
      </c>
      <c r="C27" s="5">
        <v>1.0443450000000001</v>
      </c>
      <c r="D27" s="6">
        <v>0.51804496969628222</v>
      </c>
      <c r="E27" s="5">
        <v>1.0442761133335889</v>
      </c>
      <c r="F27" s="6">
        <v>0.45204919933119209</v>
      </c>
      <c r="G27" s="5">
        <v>1.0442211249500819</v>
      </c>
      <c r="H27" s="6">
        <v>0.39936845689193379</v>
      </c>
      <c r="I27" s="5">
        <v>1.0440483446917379</v>
      </c>
      <c r="J27" s="6">
        <v>0.23383909036339201</v>
      </c>
      <c r="K27" s="5">
        <v>1.044094035364469</v>
      </c>
      <c r="L27" s="6">
        <v>0.27761230951439148</v>
      </c>
      <c r="M27" s="5">
        <v>1.044076369799732</v>
      </c>
      <c r="N27" s="6">
        <v>0.26068809740548837</v>
      </c>
    </row>
    <row r="28" spans="1:14" ht="18" customHeight="1">
      <c r="A28" s="4" t="s">
        <v>42</v>
      </c>
      <c r="B28" s="5">
        <v>1.0709266305606679</v>
      </c>
      <c r="C28" s="5">
        <v>1.071806</v>
      </c>
      <c r="D28" s="6">
        <v>0.82112949126302959</v>
      </c>
      <c r="E28" s="5">
        <v>1.0717004926249829</v>
      </c>
      <c r="F28" s="6">
        <v>0.72260978691865407</v>
      </c>
      <c r="G28" s="5">
        <v>1.071610297802104</v>
      </c>
      <c r="H28" s="6">
        <v>0.63838849639852047</v>
      </c>
      <c r="I28" s="5">
        <v>1.0713269130774401</v>
      </c>
      <c r="J28" s="6">
        <v>0.37377211972291208</v>
      </c>
      <c r="K28" s="5">
        <v>1.071401849689807</v>
      </c>
      <c r="L28" s="6">
        <v>0.44374573904370251</v>
      </c>
      <c r="M28" s="5">
        <v>1.0713728764196011</v>
      </c>
      <c r="N28" s="6">
        <v>0.41669134579273398</v>
      </c>
    </row>
    <row r="29" spans="1:14" ht="18" customHeight="1">
      <c r="A29" s="4" t="s">
        <v>43</v>
      </c>
      <c r="B29" s="5">
        <v>1.058416915842944</v>
      </c>
      <c r="C29" s="5">
        <v>1.0591360000000001</v>
      </c>
      <c r="D29" s="6">
        <v>0.67939594151609883</v>
      </c>
      <c r="E29" s="5">
        <v>1.0590505614008809</v>
      </c>
      <c r="F29" s="6">
        <v>0.59867293166953617</v>
      </c>
      <c r="G29" s="5">
        <v>1.058976713069129</v>
      </c>
      <c r="H29" s="6">
        <v>0.52890049072821543</v>
      </c>
      <c r="I29" s="5">
        <v>1.058744680741752</v>
      </c>
      <c r="J29" s="6">
        <v>0.30967466024177781</v>
      </c>
      <c r="K29" s="5">
        <v>1.0588060390475</v>
      </c>
      <c r="L29" s="6">
        <v>0.36764643377391221</v>
      </c>
      <c r="M29" s="5">
        <v>1.058782315740866</v>
      </c>
      <c r="N29" s="6">
        <v>0.34523248112587729</v>
      </c>
    </row>
    <row r="30" spans="1:14" ht="18" customHeight="1">
      <c r="A30" s="4" t="s">
        <v>44</v>
      </c>
      <c r="B30" s="5">
        <v>1.086132446358447</v>
      </c>
      <c r="C30" s="5">
        <v>1.087215</v>
      </c>
      <c r="D30" s="6">
        <v>0.99670500147847818</v>
      </c>
      <c r="E30" s="5">
        <v>1.0870788359077379</v>
      </c>
      <c r="F30" s="6">
        <v>0.87133899043729668</v>
      </c>
      <c r="G30" s="5">
        <v>1.086968525498796</v>
      </c>
      <c r="H30" s="6">
        <v>0.76977641460963786</v>
      </c>
      <c r="I30" s="5">
        <v>1.086621951684394</v>
      </c>
      <c r="J30" s="6">
        <v>0.45068658761545499</v>
      </c>
      <c r="K30" s="5">
        <v>1.0867135958189671</v>
      </c>
      <c r="L30" s="6">
        <v>0.53506316146732591</v>
      </c>
      <c r="M30" s="5">
        <v>1.0866781626454121</v>
      </c>
      <c r="N30" s="6">
        <v>0.50243990849865516</v>
      </c>
    </row>
    <row r="31" spans="1:14" ht="18" customHeight="1">
      <c r="A31" s="4" t="s">
        <v>45</v>
      </c>
      <c r="B31" s="5">
        <v>1.114990208262342</v>
      </c>
      <c r="C31" s="5">
        <v>1.116449</v>
      </c>
      <c r="D31" s="6">
        <v>1.308344886662244</v>
      </c>
      <c r="E31" s="5">
        <v>1.1162702247635661</v>
      </c>
      <c r="F31" s="6">
        <v>1.148006943683948</v>
      </c>
      <c r="G31" s="5">
        <v>1.1161210088502851</v>
      </c>
      <c r="H31" s="6">
        <v>1.0141798372436741</v>
      </c>
      <c r="I31" s="5">
        <v>1.1156522327880769</v>
      </c>
      <c r="J31" s="6">
        <v>0.59374918347210803</v>
      </c>
      <c r="K31" s="5">
        <v>1.115776186115667</v>
      </c>
      <c r="L31" s="6">
        <v>0.70491906341524535</v>
      </c>
      <c r="M31" s="5">
        <v>1.1157282605627881</v>
      </c>
      <c r="N31" s="6">
        <v>0.66193612731091744</v>
      </c>
    </row>
    <row r="32" spans="1:14" ht="18" customHeight="1">
      <c r="A32" s="4" t="s">
        <v>46</v>
      </c>
      <c r="B32" s="5">
        <v>1.061725387278716</v>
      </c>
      <c r="C32" s="5">
        <v>1.0625869999999999</v>
      </c>
      <c r="D32" s="6">
        <v>0.81152125738723957</v>
      </c>
      <c r="E32" s="5">
        <v>1.062571475411157</v>
      </c>
      <c r="F32" s="6">
        <v>0.79689921949618325</v>
      </c>
      <c r="I32" s="5">
        <v>1.062472310432159</v>
      </c>
      <c r="J32" s="6">
        <v>0.7034993816602837</v>
      </c>
      <c r="K32" s="5">
        <v>1.0624707550337691</v>
      </c>
      <c r="L32" s="6">
        <v>0.70203440925881</v>
      </c>
    </row>
    <row r="33" spans="1:16" ht="18" customHeight="1">
      <c r="A33" s="4" t="s">
        <v>46</v>
      </c>
      <c r="B33" s="5">
        <v>1.061725387278716</v>
      </c>
      <c r="C33" s="5">
        <v>1.0625869999999999</v>
      </c>
      <c r="D33" s="6">
        <v>0.81152125738723957</v>
      </c>
      <c r="E33" s="5">
        <v>1.062571475411157</v>
      </c>
      <c r="F33" s="6">
        <v>0.79689921949618325</v>
      </c>
      <c r="I33" s="5">
        <v>1.062472310432159</v>
      </c>
      <c r="J33" s="6">
        <v>0.7034993816602837</v>
      </c>
      <c r="K33" s="5">
        <v>1.0624707550337691</v>
      </c>
      <c r="L33" s="6">
        <v>0.70203440925881</v>
      </c>
    </row>
    <row r="34" spans="1:16" ht="18" customHeight="1">
      <c r="A34" s="4" t="s">
        <v>46</v>
      </c>
      <c r="B34" s="5">
        <v>1.061725387278716</v>
      </c>
      <c r="C34" s="5">
        <v>1.0625869999999999</v>
      </c>
      <c r="D34" s="6">
        <v>0.81152125738723957</v>
      </c>
      <c r="E34" s="5">
        <v>1.062571475411157</v>
      </c>
      <c r="F34" s="6">
        <v>0.79689921949618325</v>
      </c>
      <c r="I34" s="5">
        <v>1.062472310432159</v>
      </c>
      <c r="J34" s="6">
        <v>0.7034993816602837</v>
      </c>
      <c r="K34" s="5">
        <v>1.0624707550337691</v>
      </c>
      <c r="L34" s="6">
        <v>0.70203440925881</v>
      </c>
    </row>
    <row r="35" spans="1:16" ht="18" customHeight="1">
      <c r="A35" s="4" t="s">
        <v>46</v>
      </c>
      <c r="B35" s="5">
        <v>1.061725387278716</v>
      </c>
      <c r="C35" s="5">
        <v>1.0625869999999999</v>
      </c>
      <c r="D35" s="6">
        <v>0.81152125738723957</v>
      </c>
      <c r="E35" s="5">
        <v>1.062571475411157</v>
      </c>
      <c r="F35" s="6">
        <v>0.79689921949618325</v>
      </c>
      <c r="I35" s="5">
        <v>1.062472310432159</v>
      </c>
      <c r="J35" s="6">
        <v>0.7034993816602837</v>
      </c>
      <c r="K35" s="5">
        <v>1.0624707550337691</v>
      </c>
      <c r="L35" s="6">
        <v>0.70203440925881</v>
      </c>
    </row>
    <row r="36" spans="1:16" ht="18" customHeight="1">
      <c r="A36" s="4" t="s">
        <v>47</v>
      </c>
      <c r="B36" s="5">
        <v>1.1206808254053551</v>
      </c>
      <c r="C36" s="5">
        <v>1.12242</v>
      </c>
      <c r="D36" s="6">
        <v>1.551891096214312</v>
      </c>
      <c r="E36" s="5">
        <v>1.1223802107194989</v>
      </c>
      <c r="F36" s="6">
        <v>1.516386535415827</v>
      </c>
      <c r="I36" s="5">
        <v>1.1221809726512331</v>
      </c>
      <c r="J36" s="6">
        <v>1.33860347377204</v>
      </c>
      <c r="K36" s="5">
        <v>1.1221778477444111</v>
      </c>
      <c r="L36" s="6">
        <v>1.335815073407608</v>
      </c>
    </row>
    <row r="37" spans="1:16" ht="18" customHeight="1">
      <c r="A37" s="4" t="s">
        <v>48</v>
      </c>
      <c r="B37" s="5">
        <v>1.0153766859515869</v>
      </c>
      <c r="C37" s="5">
        <v>1.0155799999999999</v>
      </c>
      <c r="D37" s="6">
        <v>0.2002350962221344</v>
      </c>
      <c r="E37" s="5">
        <v>1.0155827819905781</v>
      </c>
      <c r="F37" s="6">
        <v>0.2029749568246689</v>
      </c>
      <c r="I37" s="5">
        <v>1.015558633022656</v>
      </c>
      <c r="J37" s="6">
        <v>0.17919169662497639</v>
      </c>
      <c r="K37" s="5">
        <v>1.015558254233764</v>
      </c>
      <c r="L37" s="6">
        <v>0.1788186440450884</v>
      </c>
    </row>
    <row r="38" spans="1:16" ht="18" customHeight="1">
      <c r="A38" s="4" t="s">
        <v>49</v>
      </c>
      <c r="B38" s="5">
        <v>1.078388426944048</v>
      </c>
      <c r="C38" s="5">
        <v>1.0794969999999999</v>
      </c>
      <c r="D38" s="6">
        <v>1.027990497907513</v>
      </c>
      <c r="E38" s="5">
        <v>1.079471322437664</v>
      </c>
      <c r="F38" s="6">
        <v>1.0041794464399789</v>
      </c>
      <c r="I38" s="5">
        <v>1.0793443910694089</v>
      </c>
      <c r="J38" s="6">
        <v>0.88647476315205465</v>
      </c>
      <c r="K38" s="5">
        <v>1.079342400180942</v>
      </c>
      <c r="L38" s="6">
        <v>0.88462859305466424</v>
      </c>
    </row>
    <row r="39" spans="1:16" ht="18" customHeight="1">
      <c r="A39" s="4" t="s">
        <v>50</v>
      </c>
      <c r="B39" s="5">
        <v>1.138603084107376</v>
      </c>
      <c r="C39" s="5">
        <v>1.1406270000000001</v>
      </c>
      <c r="D39" s="6">
        <v>1.77754295669346</v>
      </c>
      <c r="E39" s="5">
        <v>1.140570254256692</v>
      </c>
      <c r="F39" s="6">
        <v>1.7277049191013181</v>
      </c>
      <c r="I39" s="5">
        <v>1.1403395992849359</v>
      </c>
      <c r="J39" s="6">
        <v>1.525127765591763</v>
      </c>
      <c r="K39" s="5">
        <v>1.1403359816718319</v>
      </c>
      <c r="L39" s="6">
        <v>1.521950527487735</v>
      </c>
    </row>
    <row r="40" spans="1:16" ht="18" customHeight="1">
      <c r="A40" s="4" t="s">
        <v>51</v>
      </c>
      <c r="B40" s="5">
        <v>1.030095257159896</v>
      </c>
      <c r="C40" s="5">
        <v>1.0304930000000001</v>
      </c>
      <c r="D40" s="6">
        <v>0.3861223875558345</v>
      </c>
      <c r="E40" s="5">
        <v>1.030501564642635</v>
      </c>
      <c r="F40" s="6">
        <v>0.39443680563989419</v>
      </c>
      <c r="I40" s="5">
        <v>1.030453952202298</v>
      </c>
      <c r="J40" s="6">
        <v>0.34821541008915202</v>
      </c>
      <c r="K40" s="5">
        <v>1.0304532053853659</v>
      </c>
      <c r="L40" s="6">
        <v>0.34749041215630783</v>
      </c>
    </row>
    <row r="41" spans="1:16" ht="18" customHeight="1">
      <c r="A41" s="4" t="s">
        <v>52</v>
      </c>
      <c r="B41" s="5">
        <v>1.094346444503165</v>
      </c>
      <c r="C41" s="5">
        <v>1.09568</v>
      </c>
      <c r="D41" s="6">
        <v>1.2185862196869841</v>
      </c>
      <c r="E41" s="5">
        <v>1.0956593792285649</v>
      </c>
      <c r="F41" s="6">
        <v>1.199743218424584</v>
      </c>
      <c r="I41" s="5">
        <v>1.0955054705916649</v>
      </c>
      <c r="J41" s="6">
        <v>1.059103444180455</v>
      </c>
      <c r="K41" s="5">
        <v>1.0955030565991839</v>
      </c>
      <c r="L41" s="6">
        <v>1.056897568250851</v>
      </c>
    </row>
    <row r="42" spans="1:16" ht="18" customHeight="1">
      <c r="A42" s="4" t="s">
        <v>53</v>
      </c>
      <c r="B42" s="5">
        <v>1.1557753336016381</v>
      </c>
      <c r="C42" s="5">
        <v>1.158047</v>
      </c>
      <c r="D42" s="6">
        <v>1.9654913306403341</v>
      </c>
      <c r="E42" s="5">
        <v>1.158002649550147</v>
      </c>
      <c r="F42" s="6">
        <v>1.927118431890984</v>
      </c>
      <c r="I42" s="5">
        <v>1.1577414689788941</v>
      </c>
      <c r="J42" s="6">
        <v>1.7011397631487051</v>
      </c>
      <c r="K42" s="5">
        <v>1.157737372648088</v>
      </c>
      <c r="L42" s="6">
        <v>1.6975955355752119</v>
      </c>
    </row>
    <row r="43" spans="1:16" ht="18" customHeight="1">
      <c r="A43" s="4" t="s">
        <v>54</v>
      </c>
      <c r="B43" s="5">
        <v>1.057921148146048</v>
      </c>
      <c r="C43" s="5">
        <v>1.058718</v>
      </c>
      <c r="D43" s="6">
        <v>0.75322424109632802</v>
      </c>
      <c r="E43" s="5">
        <v>1.058713663973923</v>
      </c>
      <c r="F43" s="6">
        <v>0.74912561230510566</v>
      </c>
      <c r="I43" s="5">
        <v>1.0586207798444389</v>
      </c>
      <c r="J43" s="6">
        <v>0.6613268858623792</v>
      </c>
      <c r="K43" s="5">
        <v>1.0586193229567631</v>
      </c>
      <c r="L43" s="6">
        <v>0.65994976273857198</v>
      </c>
    </row>
    <row r="44" spans="1:16" ht="18" customHeight="1">
      <c r="A44" s="4" t="s">
        <v>55</v>
      </c>
      <c r="B44" s="5">
        <v>1.124537264303259</v>
      </c>
      <c r="C44" s="5">
        <v>1.0625869999999999</v>
      </c>
      <c r="D44" s="6">
        <v>-55.089561075276741</v>
      </c>
      <c r="E44" s="5">
        <v>1.1262939464713719</v>
      </c>
      <c r="F44" s="6">
        <v>1.5621378000326449</v>
      </c>
      <c r="I44" s="5">
        <v>1.1260879866961671</v>
      </c>
      <c r="J44" s="6">
        <v>1.3789871106397871</v>
      </c>
      <c r="K44" s="5">
        <v>1.1260847563729519</v>
      </c>
      <c r="L44" s="6">
        <v>1.3761145306745619</v>
      </c>
    </row>
    <row r="45" spans="1:16" ht="18" customHeight="1">
      <c r="A45" s="4" t="s">
        <v>56</v>
      </c>
      <c r="B45" s="5">
        <v>1.188285484761479</v>
      </c>
      <c r="C45" s="5">
        <v>1.1910829999999999</v>
      </c>
      <c r="D45" s="6">
        <v>2.3542450651765829</v>
      </c>
      <c r="E45" s="5">
        <v>1.1910146808733151</v>
      </c>
      <c r="F45" s="6">
        <v>2.296751198962482</v>
      </c>
      <c r="I45" s="5">
        <v>1.1906945965030169</v>
      </c>
      <c r="J45" s="6">
        <v>2.0273846415127079</v>
      </c>
      <c r="K45" s="5">
        <v>1.1906895764409069</v>
      </c>
      <c r="L45" s="6">
        <v>2.0231600152130289</v>
      </c>
    </row>
    <row r="46" spans="1:16" ht="18" customHeight="1">
      <c r="A46" s="4" t="s">
        <v>57</v>
      </c>
      <c r="B46" s="5">
        <v>1.0750572364329609</v>
      </c>
      <c r="C46" s="5">
        <v>1.075269</v>
      </c>
      <c r="D46" s="6">
        <v>0.1969788769028922</v>
      </c>
      <c r="E46" s="5">
        <v>1.0752610965468681</v>
      </c>
      <c r="F46" s="6">
        <v>0.1896272189031564</v>
      </c>
      <c r="G46" s="5">
        <v>1.074897624583957</v>
      </c>
      <c r="H46" s="6">
        <v>-0.14846823368562281</v>
      </c>
      <c r="I46" s="5">
        <v>1.0749363520882851</v>
      </c>
      <c r="J46" s="6">
        <v>-0.1124445662790247</v>
      </c>
      <c r="K46" s="5">
        <v>1.0748761400499041</v>
      </c>
      <c r="L46" s="6">
        <v>-0.16845278271669831</v>
      </c>
      <c r="M46" s="5">
        <v>1.07487264510214</v>
      </c>
      <c r="N46" s="6">
        <v>-0.1717037238255647</v>
      </c>
      <c r="O46" s="5">
        <v>1.0747949812533619</v>
      </c>
      <c r="P46" s="6">
        <v>-0.24394531817635859</v>
      </c>
    </row>
    <row r="47" spans="1:16" ht="18" customHeight="1">
      <c r="A47" s="4" t="s">
        <v>58</v>
      </c>
      <c r="B47" s="5">
        <v>1.1470729976665901</v>
      </c>
      <c r="C47" s="5">
        <v>1.147497</v>
      </c>
      <c r="D47" s="6">
        <v>0.36963849229547913</v>
      </c>
      <c r="E47" s="5">
        <v>1.1474854066560769</v>
      </c>
      <c r="F47" s="6">
        <v>0.35953159940703328</v>
      </c>
      <c r="G47" s="5">
        <v>1.1467501518068011</v>
      </c>
      <c r="H47" s="6">
        <v>-0.28145188705998181</v>
      </c>
      <c r="I47" s="5">
        <v>1.146828481734939</v>
      </c>
      <c r="J47" s="6">
        <v>-0.2131651012164037</v>
      </c>
      <c r="K47" s="5">
        <v>1.146706698457207</v>
      </c>
      <c r="L47" s="6">
        <v>-0.31933382629318879</v>
      </c>
      <c r="M47" s="5">
        <v>1.146699629855866</v>
      </c>
      <c r="N47" s="6">
        <v>-0.32549612054644539</v>
      </c>
      <c r="O47" s="5">
        <v>1.146542558489932</v>
      </c>
      <c r="P47" s="6">
        <v>-0.46242843980829279</v>
      </c>
    </row>
    <row r="48" spans="1:16" ht="18" customHeight="1">
      <c r="A48" s="4" t="s">
        <v>59</v>
      </c>
      <c r="B48" s="5">
        <v>1.134980113605202</v>
      </c>
      <c r="C48" s="5">
        <v>1.1353819999999999</v>
      </c>
      <c r="D48" s="6">
        <v>0.3540911333869376</v>
      </c>
      <c r="E48" s="5">
        <v>1.1353566531701711</v>
      </c>
      <c r="F48" s="6">
        <v>0.33175873343965601</v>
      </c>
      <c r="G48" s="5">
        <v>1.1346853400873189</v>
      </c>
      <c r="H48" s="6">
        <v>-0.25971690107130058</v>
      </c>
      <c r="I48" s="5">
        <v>1.134756859600035</v>
      </c>
      <c r="J48" s="6">
        <v>-0.19670301046738861</v>
      </c>
      <c r="K48" s="5">
        <v>1.1346456646374889</v>
      </c>
      <c r="L48" s="6">
        <v>-0.29467385701649418</v>
      </c>
      <c r="M48" s="5">
        <v>1.13463921058003</v>
      </c>
      <c r="N48" s="6">
        <v>-0.30036035088658719</v>
      </c>
      <c r="O48" s="5">
        <v>1.134495794198793</v>
      </c>
      <c r="P48" s="6">
        <v>-0.42672060999372791</v>
      </c>
    </row>
    <row r="49" spans="1:16" ht="18" customHeight="1">
      <c r="A49" s="4" t="s">
        <v>60</v>
      </c>
      <c r="B49" s="5">
        <v>1.2222231110314821</v>
      </c>
      <c r="C49" s="5">
        <v>1.222901</v>
      </c>
      <c r="D49" s="6">
        <v>0.55463602545207391</v>
      </c>
      <c r="E49" s="5">
        <v>1.222865795000194</v>
      </c>
      <c r="F49" s="6">
        <v>0.52583195564804452</v>
      </c>
      <c r="G49" s="5">
        <v>1.2217200737159239</v>
      </c>
      <c r="H49" s="6">
        <v>-0.41157568615532247</v>
      </c>
      <c r="I49" s="5">
        <v>1.221842116273554</v>
      </c>
      <c r="J49" s="6">
        <v>-0.31172275707182179</v>
      </c>
      <c r="K49" s="5">
        <v>1.221652372546844</v>
      </c>
      <c r="L49" s="6">
        <v>-0.46696751148501559</v>
      </c>
      <c r="M49" s="5">
        <v>1.221641359639803</v>
      </c>
      <c r="N49" s="6">
        <v>-0.47597806523854302</v>
      </c>
      <c r="O49" s="5">
        <v>1.2213966499699671</v>
      </c>
      <c r="P49" s="6">
        <v>-0.67619492223271538</v>
      </c>
    </row>
    <row r="50" spans="1:16" ht="18" customHeight="1">
      <c r="A50" s="4" t="s">
        <v>61</v>
      </c>
      <c r="B50" s="5">
        <v>1.306114604444877</v>
      </c>
      <c r="C50" s="5">
        <v>1.307075</v>
      </c>
      <c r="D50" s="6">
        <v>0.73530726312610273</v>
      </c>
      <c r="E50" s="5">
        <v>1.307028651317488</v>
      </c>
      <c r="F50" s="6">
        <v>0.69982133995008222</v>
      </c>
      <c r="G50" s="5">
        <v>1.3053992786678901</v>
      </c>
      <c r="H50" s="6">
        <v>-0.54767458732331109</v>
      </c>
      <c r="I50" s="5">
        <v>1.305572815864747</v>
      </c>
      <c r="J50" s="6">
        <v>-0.41480937299494591</v>
      </c>
      <c r="K50" s="5">
        <v>1.305303014138776</v>
      </c>
      <c r="L50" s="6">
        <v>-0.62137756008423295</v>
      </c>
      <c r="M50" s="5">
        <v>1.3052873550145989</v>
      </c>
      <c r="N50" s="6">
        <v>-0.63336664903863726</v>
      </c>
      <c r="O50" s="5">
        <v>1.3049394172331901</v>
      </c>
      <c r="P50" s="6">
        <v>-0.89975811286959961</v>
      </c>
    </row>
    <row r="51" spans="1:16" ht="18" customHeight="1">
      <c r="A51" s="4" t="s">
        <v>62</v>
      </c>
      <c r="B51" s="5">
        <v>1.2675521922199531</v>
      </c>
      <c r="C51" s="5">
        <v>1.268365</v>
      </c>
      <c r="D51" s="6">
        <v>0.64124206090728109</v>
      </c>
      <c r="E51" s="5">
        <v>1.26833968818275</v>
      </c>
      <c r="F51" s="6">
        <v>0.62127300763682936</v>
      </c>
      <c r="G51" s="5">
        <v>1.266935861041449</v>
      </c>
      <c r="H51" s="6">
        <v>-0.48623731810612542</v>
      </c>
      <c r="I51" s="5">
        <v>1.2670853857452891</v>
      </c>
      <c r="J51" s="6">
        <v>-0.36827396735980522</v>
      </c>
      <c r="K51" s="5">
        <v>1.2668529157572801</v>
      </c>
      <c r="L51" s="6">
        <v>-0.55167468997781943</v>
      </c>
      <c r="M51" s="5">
        <v>1.2668394231783959</v>
      </c>
      <c r="N51" s="6">
        <v>-0.56231928431228551</v>
      </c>
      <c r="O51" s="5">
        <v>1.266539620246742</v>
      </c>
      <c r="P51" s="6">
        <v>-0.79884045755752342</v>
      </c>
    </row>
    <row r="52" spans="1:16" ht="18" customHeight="1">
      <c r="A52" s="4" t="s">
        <v>63</v>
      </c>
      <c r="B52" s="5">
        <v>1.3670797407364901</v>
      </c>
      <c r="C52" s="5">
        <v>1.3682589999999999</v>
      </c>
      <c r="D52" s="6">
        <v>0.86261190797420917</v>
      </c>
      <c r="E52" s="5">
        <v>1.368199922274224</v>
      </c>
      <c r="F52" s="6">
        <v>0.81939736531392393</v>
      </c>
      <c r="G52" s="5">
        <v>1.3662031890011179</v>
      </c>
      <c r="H52" s="6">
        <v>-0.64118552067809331</v>
      </c>
      <c r="I52" s="5">
        <v>1.366415831891624</v>
      </c>
      <c r="J52" s="6">
        <v>-0.48564017524569791</v>
      </c>
      <c r="K52" s="5">
        <v>1.3660852338491101</v>
      </c>
      <c r="L52" s="6">
        <v>-0.72746808964113674</v>
      </c>
      <c r="M52" s="5">
        <v>1.3660660465029</v>
      </c>
      <c r="N52" s="6">
        <v>-0.74150336910396253</v>
      </c>
      <c r="O52" s="5">
        <v>1.365639723563391</v>
      </c>
      <c r="P52" s="6">
        <v>-1.053352727122755</v>
      </c>
    </row>
    <row r="53" spans="1:16" ht="18" customHeight="1">
      <c r="A53" s="4" t="s">
        <v>64</v>
      </c>
      <c r="B53" s="5">
        <v>1.462976557484537</v>
      </c>
      <c r="C53" s="5">
        <v>1.46452</v>
      </c>
      <c r="D53" s="6">
        <v>1.0550015361260361</v>
      </c>
      <c r="E53" s="5">
        <v>1.4644353136432691</v>
      </c>
      <c r="F53" s="6">
        <v>0.99711519727927189</v>
      </c>
      <c r="G53" s="5">
        <v>1.4618352488698421</v>
      </c>
      <c r="H53" s="6">
        <v>-0.78012775314581617</v>
      </c>
      <c r="I53" s="5">
        <v>1.4621121046142489</v>
      </c>
      <c r="J53" s="6">
        <v>-0.59088634460086864</v>
      </c>
      <c r="K53" s="5">
        <v>1.4616816782292601</v>
      </c>
      <c r="L53" s="6">
        <v>-0.88509911430420662</v>
      </c>
      <c r="M53" s="5">
        <v>1.4616566977096661</v>
      </c>
      <c r="N53" s="6">
        <v>-0.90217424750877462</v>
      </c>
      <c r="O53" s="5">
        <v>1.461101676085435</v>
      </c>
      <c r="P53" s="6">
        <v>-1.2815525918791499</v>
      </c>
    </row>
    <row r="54" spans="1:16" ht="18" customHeight="1">
      <c r="A54" s="4" t="s">
        <v>65</v>
      </c>
      <c r="B54" s="5">
        <v>1.014054439399924</v>
      </c>
      <c r="C54" s="5">
        <v>1.0141500000000001</v>
      </c>
      <c r="D54" s="6">
        <v>9.4236163625581529E-2</v>
      </c>
      <c r="E54" s="5">
        <v>1.0141357972301941</v>
      </c>
      <c r="F54" s="6">
        <v>8.023023923493236E-2</v>
      </c>
      <c r="G54" s="5">
        <v>1.014057198011959</v>
      </c>
      <c r="H54" s="6">
        <v>2.720378638965315E-3</v>
      </c>
      <c r="I54" s="5">
        <v>1.0140609029058141</v>
      </c>
      <c r="J54" s="6">
        <v>6.3739239626574139E-3</v>
      </c>
      <c r="K54" s="5">
        <v>1.0140521149863939</v>
      </c>
      <c r="L54" s="6">
        <v>-2.2921979719416319E-3</v>
      </c>
      <c r="M54" s="5">
        <v>1.0140515276656059</v>
      </c>
      <c r="N54" s="6">
        <v>-2.871378699289088E-3</v>
      </c>
    </row>
    <row r="55" spans="1:16" ht="18" customHeight="1">
      <c r="A55" s="4" t="s">
        <v>66</v>
      </c>
      <c r="B55" s="5">
        <v>1.027478040485077</v>
      </c>
      <c r="C55" s="5">
        <v>1.0276609999999999</v>
      </c>
      <c r="D55" s="6">
        <v>0.17806659384860801</v>
      </c>
      <c r="E55" s="5">
        <v>1.027638154588489</v>
      </c>
      <c r="F55" s="6">
        <v>0.1558321415184695</v>
      </c>
      <c r="G55" s="5">
        <v>1.0274834692995241</v>
      </c>
      <c r="H55" s="6">
        <v>5.2836306307158642E-3</v>
      </c>
      <c r="I55" s="5">
        <v>1.027490760372507</v>
      </c>
      <c r="J55" s="6">
        <v>1.237971706335215E-2</v>
      </c>
      <c r="K55" s="5">
        <v>1.0274734661629941</v>
      </c>
      <c r="L55" s="6">
        <v>-4.4519901177563622E-3</v>
      </c>
      <c r="M55" s="5">
        <v>1.0274723103485139</v>
      </c>
      <c r="N55" s="6">
        <v>-5.5768944313874429E-3</v>
      </c>
    </row>
    <row r="56" spans="1:16" ht="18" customHeight="1">
      <c r="A56" s="4" t="s">
        <v>67</v>
      </c>
      <c r="B56" s="5">
        <v>1.0527779943599269</v>
      </c>
      <c r="C56" s="5">
        <v>1.0531140000000001</v>
      </c>
      <c r="D56" s="6">
        <v>0.31916096448924491</v>
      </c>
      <c r="E56" s="5">
        <v>1.0530892854601159</v>
      </c>
      <c r="F56" s="6">
        <v>0.29568541692258432</v>
      </c>
      <c r="G56" s="5">
        <v>1.0527885482552191</v>
      </c>
      <c r="H56" s="6">
        <v>1.0024806130716161E-2</v>
      </c>
      <c r="I56" s="5">
        <v>1.052802722555886</v>
      </c>
      <c r="J56" s="6">
        <v>2.3488519033589759E-2</v>
      </c>
      <c r="K56" s="5">
        <v>1.052769101680709</v>
      </c>
      <c r="L56" s="6">
        <v>-8.4468703423757376E-3</v>
      </c>
      <c r="M56" s="5">
        <v>1.052766854733183</v>
      </c>
      <c r="N56" s="6">
        <v>-1.0581173622808041E-2</v>
      </c>
    </row>
    <row r="57" spans="1:16" ht="18" customHeight="1">
      <c r="A57" s="4" t="s">
        <v>68</v>
      </c>
      <c r="B57" s="5">
        <v>1.100576848664772</v>
      </c>
      <c r="C57" s="5">
        <v>1.101235</v>
      </c>
      <c r="D57" s="6">
        <v>0.59800579671124654</v>
      </c>
      <c r="E57" s="5">
        <v>1.101183272520629</v>
      </c>
      <c r="F57" s="6">
        <v>0.55100546281001384</v>
      </c>
      <c r="G57" s="5">
        <v>1.100597406094336</v>
      </c>
      <c r="H57" s="6">
        <v>1.8678777032468379E-2</v>
      </c>
      <c r="I57" s="5">
        <v>1.1006250158188611</v>
      </c>
      <c r="J57" s="6">
        <v>4.3765370993654268E-2</v>
      </c>
      <c r="K57" s="5">
        <v>1.100559527176916</v>
      </c>
      <c r="L57" s="6">
        <v>-1.5738553720518949E-2</v>
      </c>
      <c r="M57" s="5">
        <v>1.1005551505098179</v>
      </c>
      <c r="N57" s="6">
        <v>-1.97152565773921E-2</v>
      </c>
    </row>
    <row r="58" spans="1:16" ht="18" customHeight="1">
      <c r="A58" s="4" t="s">
        <v>69</v>
      </c>
      <c r="B58" s="5">
        <v>1.116505459849334</v>
      </c>
      <c r="C58" s="5">
        <v>1.1172880000000001</v>
      </c>
      <c r="D58" s="6">
        <v>0.70088340702891705</v>
      </c>
      <c r="E58" s="5">
        <v>1.1172129240388691</v>
      </c>
      <c r="F58" s="6">
        <v>0.63364149569821626</v>
      </c>
      <c r="G58" s="5">
        <v>1.116529441532875</v>
      </c>
      <c r="H58" s="6">
        <v>2.1479235348616951E-2</v>
      </c>
      <c r="I58" s="5">
        <v>1.1165616503188229</v>
      </c>
      <c r="J58" s="6">
        <v>5.0327088858558987E-2</v>
      </c>
      <c r="K58" s="5">
        <v>1.1164852531709071</v>
      </c>
      <c r="L58" s="6">
        <v>-1.8098145646832119E-2</v>
      </c>
      <c r="M58" s="5">
        <v>1.116480147502463</v>
      </c>
      <c r="N58" s="6">
        <v>-2.2671046207325931E-2</v>
      </c>
    </row>
    <row r="59" spans="1:16" ht="18" customHeight="1">
      <c r="A59" s="4" t="s">
        <v>70</v>
      </c>
      <c r="B59" s="5">
        <v>1.1317289290389889</v>
      </c>
      <c r="C59" s="5">
        <v>1.13262</v>
      </c>
      <c r="D59" s="6">
        <v>0.78735370117994607</v>
      </c>
      <c r="E59" s="5">
        <v>1.1325341875062209</v>
      </c>
      <c r="F59" s="6">
        <v>0.71152945424466085</v>
      </c>
      <c r="G59" s="5">
        <v>1.13175622473518</v>
      </c>
      <c r="H59" s="6">
        <v>2.4118581306134711E-2</v>
      </c>
      <c r="I59" s="5">
        <v>1.1317928845448539</v>
      </c>
      <c r="J59" s="6">
        <v>5.6511329015858182E-2</v>
      </c>
      <c r="K59" s="5">
        <v>1.1317059300692409</v>
      </c>
      <c r="L59" s="6">
        <v>-2.0321977425359249E-2</v>
      </c>
      <c r="M59" s="5">
        <v>1.1317001188741489</v>
      </c>
      <c r="N59" s="6">
        <v>-2.5456771582452121E-2</v>
      </c>
    </row>
    <row r="60" spans="1:16" ht="18" customHeight="1">
      <c r="A60" s="4" t="s">
        <v>71</v>
      </c>
      <c r="B60" s="5">
        <v>1.1604471456797041</v>
      </c>
      <c r="C60" s="5">
        <v>1.161529</v>
      </c>
      <c r="D60" s="6">
        <v>0.93227367082084889</v>
      </c>
      <c r="E60" s="5">
        <v>1.161440095204497</v>
      </c>
      <c r="F60" s="6">
        <v>0.85566113759668272</v>
      </c>
      <c r="G60" s="5">
        <v>1.160480801162963</v>
      </c>
      <c r="H60" s="6">
        <v>2.9002168159466959E-2</v>
      </c>
      <c r="I60" s="5">
        <v>1.1605260028189599</v>
      </c>
      <c r="J60" s="6">
        <v>6.7954098167780169E-2</v>
      </c>
      <c r="K60" s="5">
        <v>1.1604187881703969</v>
      </c>
      <c r="L60" s="6">
        <v>-2.443670908416129E-2</v>
      </c>
      <c r="M60" s="5">
        <v>1.1604116230410011</v>
      </c>
      <c r="N60" s="6">
        <v>-3.061116470062139E-2</v>
      </c>
    </row>
    <row r="61" spans="1:16" ht="18" customHeight="1">
      <c r="A61" s="4" t="s">
        <v>72</v>
      </c>
      <c r="B61" s="5">
        <v>1.197177536028071</v>
      </c>
      <c r="C61" s="5">
        <v>1.198556</v>
      </c>
      <c r="D61" s="6">
        <v>1.151428197109281</v>
      </c>
      <c r="E61" s="5">
        <v>1.1984165113313801</v>
      </c>
      <c r="F61" s="6">
        <v>1.0349135913621099</v>
      </c>
      <c r="G61" s="5">
        <v>1.1972195267879009</v>
      </c>
      <c r="H61" s="6">
        <v>3.507479765217409E-2</v>
      </c>
      <c r="I61" s="5">
        <v>1.197275923701564</v>
      </c>
      <c r="J61" s="6">
        <v>8.2183026770242973E-2</v>
      </c>
      <c r="K61" s="5">
        <v>1.1971421555614821</v>
      </c>
      <c r="L61" s="6">
        <v>-2.9553232937513541E-2</v>
      </c>
      <c r="M61" s="5">
        <v>1.1971332159608259</v>
      </c>
      <c r="N61" s="6">
        <v>-3.7020463474555003E-2</v>
      </c>
    </row>
    <row r="62" spans="1:16" ht="18" customHeight="1">
      <c r="A62" s="4" t="s">
        <v>73</v>
      </c>
      <c r="B62" s="5">
        <v>1.214969236219585</v>
      </c>
      <c r="C62" s="5">
        <v>1.216461</v>
      </c>
      <c r="D62" s="6">
        <v>1.2278202080714069</v>
      </c>
      <c r="E62" s="5">
        <v>1.2163297361835319</v>
      </c>
      <c r="F62" s="6">
        <v>1.11978140959424</v>
      </c>
      <c r="G62" s="5">
        <v>1.2150153437466951</v>
      </c>
      <c r="H62" s="6">
        <v>3.7949542865979409E-2</v>
      </c>
      <c r="I62" s="5">
        <v>1.2150772700131709</v>
      </c>
      <c r="J62" s="6">
        <v>8.8918953966521164E-2</v>
      </c>
      <c r="K62" s="5">
        <v>1.2149303871606789</v>
      </c>
      <c r="L62" s="6">
        <v>-3.1975343693695583E-2</v>
      </c>
      <c r="M62" s="5">
        <v>1.2149205711639159</v>
      </c>
      <c r="N62" s="6">
        <v>-4.0054557941095741E-2</v>
      </c>
    </row>
    <row r="63" spans="1:16" ht="18" customHeight="1">
      <c r="A63" s="4" t="s">
        <v>74</v>
      </c>
      <c r="B63" s="5">
        <v>1.2319836090220451</v>
      </c>
      <c r="C63" s="5">
        <v>1.233608</v>
      </c>
      <c r="D63" s="6">
        <v>1.318516712445891</v>
      </c>
      <c r="E63" s="5">
        <v>1.233461732587241</v>
      </c>
      <c r="F63" s="6">
        <v>1.1997915835656621</v>
      </c>
      <c r="G63" s="5">
        <v>1.2320337008946931</v>
      </c>
      <c r="H63" s="6">
        <v>4.0659528488209723E-2</v>
      </c>
      <c r="I63" s="5">
        <v>1.232100978684155</v>
      </c>
      <c r="J63" s="6">
        <v>9.526885037267728E-2</v>
      </c>
      <c r="K63" s="5">
        <v>1.231941402957774</v>
      </c>
      <c r="L63" s="6">
        <v>-3.425862484045622E-2</v>
      </c>
      <c r="M63" s="5">
        <v>1.231930738761279</v>
      </c>
      <c r="N63" s="6">
        <v>-4.2914743653325697E-2</v>
      </c>
    </row>
    <row r="64" spans="1:16" ht="18" customHeight="1">
      <c r="A64" s="4" t="s">
        <v>75</v>
      </c>
      <c r="B64" s="5">
        <v>1.2641075544581879</v>
      </c>
      <c r="C64" s="5">
        <v>1.265979</v>
      </c>
      <c r="D64" s="6">
        <v>1.480448032457502</v>
      </c>
      <c r="E64" s="5">
        <v>1.2658114437867669</v>
      </c>
      <c r="F64" s="6">
        <v>1.3478990158475761</v>
      </c>
      <c r="G64" s="5">
        <v>1.264165293140983</v>
      </c>
      <c r="H64" s="6">
        <v>4.5675451104833467E-2</v>
      </c>
      <c r="I64" s="5">
        <v>1.2642428417245171</v>
      </c>
      <c r="J64" s="6">
        <v>0.1070219585762627</v>
      </c>
      <c r="K64" s="5">
        <v>1.264058905622214</v>
      </c>
      <c r="L64" s="6">
        <v>-3.8484728456743618E-2</v>
      </c>
      <c r="M64" s="5">
        <v>1.264046613564622</v>
      </c>
      <c r="N64" s="6">
        <v>-4.8208630152708293E-2</v>
      </c>
    </row>
    <row r="65" spans="1:16" ht="18" customHeight="1"/>
    <row r="66" spans="1:16" ht="18" customHeight="1">
      <c r="A66" t="s">
        <v>76</v>
      </c>
    </row>
    <row r="67" spans="1:16" ht="18" customHeight="1">
      <c r="A67" s="9" t="s">
        <v>77</v>
      </c>
      <c r="D67" s="6">
        <f>AVERAGE(D2:D64)</f>
        <v>0.34431199971523763</v>
      </c>
      <c r="F67" s="6">
        <v>1.5266569375095389</v>
      </c>
      <c r="H67" s="6">
        <v>1</v>
      </c>
      <c r="J67" s="6">
        <v>0.69701775180790249</v>
      </c>
      <c r="L67" s="6">
        <v>0.43342818961505869</v>
      </c>
      <c r="N67" s="6">
        <v>0.30162261653589861</v>
      </c>
      <c r="P67" s="6">
        <v>-0.56353327297290579</v>
      </c>
    </row>
    <row r="68" spans="1:16" ht="18" customHeight="1">
      <c r="A68" s="9" t="s">
        <v>78</v>
      </c>
      <c r="D68" s="6">
        <v>2.1241427425742132</v>
      </c>
      <c r="F68" s="6">
        <v>1.5266569375095389</v>
      </c>
      <c r="H68" s="6">
        <v>0.97579158798931365</v>
      </c>
      <c r="J68" s="6">
        <v>0.89948860503286354</v>
      </c>
      <c r="L68" s="6">
        <v>0.76033052412476398</v>
      </c>
      <c r="N68" s="6">
        <v>0.61717460355190479</v>
      </c>
      <c r="P68" s="6">
        <v>0.81410955659827378</v>
      </c>
    </row>
    <row r="69" spans="1:16" ht="18" customHeight="1">
      <c r="A69" s="9" t="s">
        <v>79</v>
      </c>
      <c r="D69" s="6">
        <v>55.089561075276741</v>
      </c>
      <c r="F69" s="6">
        <v>7.4501602052814766</v>
      </c>
      <c r="H69" s="6">
        <v>5.9103017333649106</v>
      </c>
      <c r="J69" s="6">
        <v>6.7448183889809261</v>
      </c>
      <c r="L69" s="6">
        <v>6.9932148244173238</v>
      </c>
      <c r="N69" s="6">
        <v>6.596505672090184</v>
      </c>
      <c r="P69" s="6">
        <v>1.2815525918791499</v>
      </c>
    </row>
    <row r="70" spans="1:16" ht="18" customHeight="1">
      <c r="A70" s="9" t="s">
        <v>80</v>
      </c>
      <c r="D70" s="6">
        <v>7.2056652662137841</v>
      </c>
      <c r="F70" s="6">
        <v>1.785020929872531</v>
      </c>
      <c r="H70" s="6">
        <v>1.494224529941532</v>
      </c>
      <c r="J70" s="6">
        <v>1.3701055748172981</v>
      </c>
      <c r="L70" s="6">
        <v>1.2336923466256531</v>
      </c>
      <c r="N70" s="6">
        <v>1.2322247390293</v>
      </c>
      <c r="P70" s="6">
        <v>0.71486117805736615</v>
      </c>
    </row>
    <row r="71" spans="1:16" ht="18" customHeight="1">
      <c r="A71" s="9" t="s">
        <v>81</v>
      </c>
      <c r="D71" s="10">
        <v>63</v>
      </c>
      <c r="F71" s="10">
        <v>63</v>
      </c>
      <c r="H71" s="10">
        <v>49</v>
      </c>
      <c r="J71" s="10">
        <v>63</v>
      </c>
      <c r="L71" s="10">
        <v>63</v>
      </c>
      <c r="N71" s="10">
        <v>49</v>
      </c>
      <c r="P71" s="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</vt:lpstr>
      <vt:lpstr>N2 Benchmark and FullPath vs 7P</vt:lpstr>
      <vt:lpstr>ZPE Comparison (permille)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Andren, Simon J.</cp:lastModifiedBy>
  <dcterms:created xsi:type="dcterms:W3CDTF">2026-02-16T17:37:20Z</dcterms:created>
  <dcterms:modified xsi:type="dcterms:W3CDTF">2026-02-16T17:38:52Z</dcterms:modified>
</cp:coreProperties>
</file>