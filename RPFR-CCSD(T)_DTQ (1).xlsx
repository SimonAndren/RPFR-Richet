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3"/>
  </bookViews>
  <sheets>
    <sheet r:id="rId1" sheetId="1" name="Amila"/>
    <sheet r:id="rId2" sheetId="2" name="Exp values"/>
    <sheet r:id="rId3" sheetId="3" name="Relative Diff (permille)"/>
    <sheet r:id="rId4" sheetId="4" name="Experimental RPFR"/>
  </sheets>
  <definedNames>
    <definedName name="_Hlk194485242" localSheetId="1">'Exp values'!$A$2</definedName>
  </definedNames>
  <calcPr fullCalcOnLoad="1"/>
</workbook>
</file>

<file path=xl/sharedStrings.xml><?xml version="1.0" encoding="utf-8"?>
<sst xmlns="http://schemas.openxmlformats.org/spreadsheetml/2006/main" count="593" uniqueCount="190">
  <si>
    <t>Molecule</t>
  </si>
  <si>
    <t>Method</t>
  </si>
  <si>
    <t>Translational</t>
  </si>
  <si>
    <t>ZPE (total)</t>
  </si>
  <si>
    <t>Excited (harmonic)</t>
  </si>
  <si>
    <t>Excited (anharmonic)</t>
  </si>
  <si>
    <t>Rotational (diatomic)</t>
  </si>
  <si>
    <t>Rotational-vibrational</t>
  </si>
  <si>
    <t>RPFR 273.15K</t>
  </si>
  <si>
    <t>1H2H/1H1H</t>
  </si>
  <si>
    <t>CCSD(T)_Q5</t>
  </si>
  <si>
    <t>1H3H/1H1H</t>
  </si>
  <si>
    <t>2H19F/1H19F</t>
  </si>
  <si>
    <t>3H19F/1H19F</t>
  </si>
  <si>
    <t>2H35Cl/1H35Cl</t>
  </si>
  <si>
    <t>3H35Cl/1H35Cl</t>
  </si>
  <si>
    <t>1H37Cl/1H35Cl</t>
  </si>
  <si>
    <t>2H37Cl/1H35Cl</t>
  </si>
  <si>
    <t>3H37Cl/1H35Cl</t>
  </si>
  <si>
    <t>35Cl37Cl/35Cl35Cl</t>
  </si>
  <si>
    <t>14N15N/14N14N</t>
  </si>
  <si>
    <t>15N15N/14N14N</t>
  </si>
  <si>
    <t>14N17O/14N16O</t>
  </si>
  <si>
    <t>14N18O/14N16O</t>
  </si>
  <si>
    <t>15N16O/14N16O</t>
  </si>
  <si>
    <t>15N17O/14N16O</t>
  </si>
  <si>
    <t>15N18O/14N16O</t>
  </si>
  <si>
    <t>16O18O/16O16O</t>
  </si>
  <si>
    <t>17O17O/16O16O</t>
  </si>
  <si>
    <t>17O18O/16O16O</t>
  </si>
  <si>
    <t>18O18O/16O16O</t>
  </si>
  <si>
    <t>32S33S/32S32S</t>
  </si>
  <si>
    <t>32S34S/32S32S</t>
  </si>
  <si>
    <t>32S36S/32S32S</t>
  </si>
  <si>
    <t>33S33S/32S32S</t>
  </si>
  <si>
    <t>33S34S/32S32S</t>
  </si>
  <si>
    <t>33S36S/32S32S</t>
  </si>
  <si>
    <t>34S34S/32S32S</t>
  </si>
  <si>
    <t>34S36S/32S32S</t>
  </si>
  <si>
    <t>36S36S/32S32S</t>
  </si>
  <si>
    <t>32S17O/32S16O</t>
  </si>
  <si>
    <t>32S18O/32S16O</t>
  </si>
  <si>
    <t>33S16O/32S16O</t>
  </si>
  <si>
    <t>33S17O/32S16O</t>
  </si>
  <si>
    <t>33S18O/32S16O</t>
  </si>
  <si>
    <t>34S16O/32S16O</t>
  </si>
  <si>
    <t>34S17O/32S16O</t>
  </si>
  <si>
    <t>34S18O/32S16O</t>
  </si>
  <si>
    <t>36S16O/32S16O</t>
  </si>
  <si>
    <t>36S17O/32S16O</t>
  </si>
  <si>
    <t>36S18O/32S16O</t>
  </si>
  <si>
    <t>12C17O/12C16O</t>
  </si>
  <si>
    <t>12C18O/12C16O</t>
  </si>
  <si>
    <t>13C16O/12C16O</t>
  </si>
  <si>
    <t>13C17O/12C16O</t>
  </si>
  <si>
    <t>13C18O/12C16O</t>
  </si>
  <si>
    <t>14C16O/12C16O</t>
  </si>
  <si>
    <t>14C17O/12C16O</t>
  </si>
  <si>
    <t>14C18O/12C16O</t>
  </si>
  <si>
    <t>12C33S/12C32S</t>
  </si>
  <si>
    <t>12C34S/12C32S</t>
  </si>
  <si>
    <t>12C36S/12C32S</t>
  </si>
  <si>
    <t>13C32S/12C32S</t>
  </si>
  <si>
    <t>13C33S/12C32S</t>
  </si>
  <si>
    <t>13C34S/12C32S</t>
  </si>
  <si>
    <t>13C36S/12C32S</t>
  </si>
  <si>
    <t>14C32S/12C32S</t>
  </si>
  <si>
    <t>14C33S/12C32S</t>
  </si>
  <si>
    <t>14C34S/12C32S</t>
  </si>
  <si>
    <t>14C36S/12C32S</t>
  </si>
  <si>
    <t>6Li19F/7Li19F</t>
  </si>
  <si>
    <t>6Li35Cl/7Li35Cl</t>
  </si>
  <si>
    <t>7Li37Cl/7Li35Cl</t>
  </si>
  <si>
    <t>6Li37Cl/7Li35Cl</t>
  </si>
  <si>
    <t>23Na37Cl/23Na35Cl</t>
  </si>
  <si>
    <t>CCSD(T)_DTQ</t>
  </si>
  <si>
    <t>40K19F/39K19F</t>
  </si>
  <si>
    <t>40K35Cl/39K35Cl</t>
  </si>
  <si>
    <t>41K35Cl/39K35Cl</t>
  </si>
  <si>
    <t>39K37Cl/39K35Cl</t>
  </si>
  <si>
    <t>40K37Cl/39K35Cl</t>
  </si>
  <si>
    <t>41K37Cl/39K35Cl</t>
  </si>
  <si>
    <t>24Mg17O/24Mg16O</t>
  </si>
  <si>
    <t>24Mg18O/24Mg16O</t>
  </si>
  <si>
    <t>25Mg16O/24Mg16O</t>
  </si>
  <si>
    <t>25Mg17O/24Mg16O</t>
  </si>
  <si>
    <t>25Mg18O/24Mg16O</t>
  </si>
  <si>
    <t>26Mg16O/24Mg16O</t>
  </si>
  <si>
    <t>26Mg17O/24Mg16O</t>
  </si>
  <si>
    <t>26Mg18O/24Mg16O</t>
  </si>
  <si>
    <t>24Mg33S/24Mg32S</t>
  </si>
  <si>
    <t>24Mg34S/24Mg32S</t>
  </si>
  <si>
    <t>24Mg36S/24Mg32S</t>
  </si>
  <si>
    <t>25Mg36S/24Mg32S</t>
  </si>
  <si>
    <t>25Mg34S/24Mg32S</t>
  </si>
  <si>
    <t>25Mg33S/24Mg32S</t>
  </si>
  <si>
    <t>25Mg32S/24Mg32S</t>
  </si>
  <si>
    <t>26Mg32S/24Mg32S</t>
  </si>
  <si>
    <t>26Mg33S/24Mg32S</t>
  </si>
  <si>
    <t>26Mg34S/24Mg32S</t>
  </si>
  <si>
    <t>26Mg36S/24Mg32S</t>
  </si>
  <si>
    <t>40Ca17O/40Ca16O</t>
  </si>
  <si>
    <t>40Ca18O/40Ca16O</t>
  </si>
  <si>
    <t>42Ca18O/40Ca16O</t>
  </si>
  <si>
    <t>42Ca17O/40Ca16O</t>
  </si>
  <si>
    <t>42Ca16O/40Ca16O</t>
  </si>
  <si>
    <t>43Ca16O/40Ca16O</t>
  </si>
  <si>
    <t>43Ca17O/40Ca16O</t>
  </si>
  <si>
    <t>43Ca18O/40Ca16O</t>
  </si>
  <si>
    <t>44Ca18O/40Ca16O</t>
  </si>
  <si>
    <t>44Ca17O/40Ca16O</t>
  </si>
  <si>
    <t>44Ca16O/40Ca16O</t>
  </si>
  <si>
    <t>46Ca16O/40Ca16O</t>
  </si>
  <si>
    <t>46Ca17O/40Ca16O</t>
  </si>
  <si>
    <t>46Ca18O/40Ca16O</t>
  </si>
  <si>
    <t>48Ca18O/40Ca16O</t>
  </si>
  <si>
    <t>48Ca17O/40Ca16O</t>
  </si>
  <si>
    <t>48Ca16O/40Ca16O</t>
  </si>
  <si>
    <t>40Ca33S/40Ca32S</t>
  </si>
  <si>
    <t>40Ca34S/40Ca32S</t>
  </si>
  <si>
    <t>40Ca36S/40Ca32S</t>
  </si>
  <si>
    <t>42Ca36S/40Ca32S</t>
  </si>
  <si>
    <t>42Ca34S/40Ca32S</t>
  </si>
  <si>
    <t>42Ca33S/40Ca32S</t>
  </si>
  <si>
    <t>42Ca32S/40Ca32S</t>
  </si>
  <si>
    <t>43Ca32S/40Ca32S</t>
  </si>
  <si>
    <t>43Ca33S/40Ca32S</t>
  </si>
  <si>
    <t>43Ca34S/40Ca32S</t>
  </si>
  <si>
    <t>43Ca36S/40Ca32S</t>
  </si>
  <si>
    <t>44Ca36S/40Ca32S</t>
  </si>
  <si>
    <t>44Ca34S/40Ca32S</t>
  </si>
  <si>
    <t>44Ca33S/40Ca32S</t>
  </si>
  <si>
    <t>44Ca32S/40Ca32S</t>
  </si>
  <si>
    <t>46Ca32S/40Ca32S</t>
  </si>
  <si>
    <t>46Ca33S/40Ca32S</t>
  </si>
  <si>
    <t>46Ca34S/40Ca32S</t>
  </si>
  <si>
    <t>46Ca36S/40Ca32S</t>
  </si>
  <si>
    <t>48Ca36S/40Ca32S</t>
  </si>
  <si>
    <t>48Ca34S/40Ca32S</t>
  </si>
  <si>
    <t>48Ca33S/40Ca32S</t>
  </si>
  <si>
    <t>48Ca32S/40Ca32S</t>
  </si>
  <si>
    <t>Amila RPFR</t>
  </si>
  <si>
    <t>This work RPFR</t>
  </si>
  <si>
    <t>Rel. Diff (‰)</t>
  </si>
  <si>
    <t>Experimental Values</t>
  </si>
  <si>
    <t>Atomic mass</t>
  </si>
  <si>
    <t>Re (A)</t>
  </si>
  <si>
    <t xml:space="preserve">Rotational constant Be (cm-1) </t>
  </si>
  <si>
    <t xml:space="preserve">Vibration-rotation constant αe (cm-1) </t>
  </si>
  <si>
    <t>Centrifugal distortion constant De (cm-1)</t>
  </si>
  <si>
    <t>ωe (cm-1)</t>
  </si>
  <si>
    <t>ωexe (cm-1)</t>
  </si>
  <si>
    <t xml:space="preserve">H2 </t>
  </si>
  <si>
    <t xml:space="preserve">D2 </t>
  </si>
  <si>
    <t xml:space="preserve">HT </t>
  </si>
  <si>
    <t>-</t>
  </si>
  <si>
    <t xml:space="preserve">T2 </t>
  </si>
  <si>
    <t xml:space="preserve">HD </t>
  </si>
  <si>
    <t xml:space="preserve">DT </t>
  </si>
  <si>
    <t xml:space="preserve">HF </t>
  </si>
  <si>
    <t xml:space="preserve">DF </t>
  </si>
  <si>
    <t xml:space="preserve">TF </t>
  </si>
  <si>
    <t xml:space="preserve">H35Cl </t>
  </si>
  <si>
    <t xml:space="preserve">D35Cl </t>
  </si>
  <si>
    <t xml:space="preserve">T35Cl </t>
  </si>
  <si>
    <t xml:space="preserve">F2 </t>
  </si>
  <si>
    <t xml:space="preserve">35Cl35Cl </t>
  </si>
  <si>
    <t xml:space="preserve">14N14N </t>
  </si>
  <si>
    <t xml:space="preserve">14N16O </t>
  </si>
  <si>
    <t xml:space="preserve">16O16O </t>
  </si>
  <si>
    <t xml:space="preserve">32S32S </t>
  </si>
  <si>
    <t xml:space="preserve">32S16O </t>
  </si>
  <si>
    <t xml:space="preserve">7LiF </t>
  </si>
  <si>
    <t xml:space="preserve">7Li35Cl </t>
  </si>
  <si>
    <t xml:space="preserve">NaF </t>
  </si>
  <si>
    <t xml:space="preserve">Na35Cl </t>
  </si>
  <si>
    <t xml:space="preserve">39KF </t>
  </si>
  <si>
    <t xml:space="preserve">39K35Cl </t>
  </si>
  <si>
    <t xml:space="preserve">24Mg16O </t>
  </si>
  <si>
    <t xml:space="preserve">24Mg32S </t>
  </si>
  <si>
    <t xml:space="preserve">12C16O </t>
  </si>
  <si>
    <t xml:space="preserve">12C32S </t>
  </si>
  <si>
    <t xml:space="preserve">40Ca16O </t>
  </si>
  <si>
    <t xml:space="preserve">40Ca32S </t>
  </si>
  <si>
    <t xml:space="preserve">ZPE (total)   </t>
  </si>
  <si>
    <t xml:space="preserve">Rotational (diatomic) </t>
  </si>
  <si>
    <t>RPFR      273.15K</t>
  </si>
  <si>
    <t>37Cl37Cl35Cl35Cl</t>
  </si>
  <si>
    <t>16O17O16O16O</t>
  </si>
  <si>
    <t>41K19F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</si>
</sst>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"/>
  </numFmts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sz val="12"/>
      <color rgb="FF000000"/>
      <name val="Times New Roman"/>
      <family val="2"/>
    </font>
    <font>
      <sz val="12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9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1" applyFont="1" fillId="0" applyAlignment="1">
      <alignment horizontal="right"/>
    </xf>
    <xf xfId="0" numFmtId="3" applyNumberFormat="1" borderId="2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0" borderId="2" applyBorder="1" fontId="1" applyFont="1" fillId="0" applyAlignment="1">
      <alignment horizontal="left"/>
    </xf>
    <xf xfId="0" numFmtId="4" applyNumberFormat="1" borderId="2" applyBorder="1" fontId="1" applyFont="1" fillId="0" applyAlignment="1">
      <alignment horizontal="left"/>
    </xf>
    <xf xfId="0" numFmtId="164" applyNumberFormat="1" borderId="2" applyBorder="1" fontId="1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4" applyNumberFormat="1" borderId="2" applyBorder="1" fontId="3" applyFont="1" fillId="0" applyAlignment="1">
      <alignment horizontal="right"/>
    </xf>
    <xf xfId="0" numFmtId="164" applyNumberFormat="1" borderId="2" applyBorder="1" fontId="3" applyFont="1" fillId="0" applyAlignment="1">
      <alignment horizontal="right"/>
    </xf>
    <xf xfId="0" numFmtId="164" applyNumberFormat="1" borderId="2" applyBorder="1" fontId="1" applyFont="1" fillId="0" applyAlignment="1">
      <alignment horizontal="right"/>
    </xf>
    <xf xfId="0" numFmtId="164" applyNumberFormat="1" borderId="0" fontId="0" fillId="0" applyAlignment="1">
      <alignment horizontal="right"/>
    </xf>
    <xf xfId="0" numFmtId="0" borderId="2" applyBorder="1" fontId="4" applyFont="1" fillId="0" applyAlignment="1">
      <alignment horizontal="left"/>
    </xf>
    <xf xfId="0" numFmtId="4" applyNumberFormat="1" borderId="2" applyBorder="1" fontId="3" applyFont="1" fillId="0" applyAlignment="1">
      <alignment horizontal="right" wrapText="1"/>
    </xf>
    <xf xfId="0" numFmtId="0" borderId="2" applyBorder="1" fontId="3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0" borderId="0" fontId="0" fillId="0" applyAlignment="1">
      <alignment wrapText="1"/>
    </xf>
    <xf xfId="0" numFmtId="0" borderId="3" applyBorder="1" fontId="4" applyFont="1" fillId="0" applyAlignment="1">
      <alignment horizontal="left" vertical="top" wrapText="1"/>
    </xf>
    <xf xfId="0" numFmtId="4" applyNumberFormat="1" borderId="3" applyBorder="1" fontId="4" applyFont="1" fillId="0" applyAlignment="1">
      <alignment horizontal="left" vertical="top" wrapText="1"/>
    </xf>
    <xf xfId="0" numFmtId="4" applyNumberFormat="1" borderId="4" applyBorder="1" fontId="1" applyFont="1" fillId="0" applyAlignment="1">
      <alignment horizontal="left" wrapText="1"/>
    </xf>
    <xf xfId="0" numFmtId="0" borderId="5" applyBorder="1" fontId="1" applyFont="1" fillId="0" applyAlignment="1">
      <alignment horizontal="left" wrapText="1"/>
    </xf>
    <xf xfId="0" numFmtId="4" applyNumberFormat="1" borderId="6" applyBorder="1" fontId="1" applyFont="1" fillId="0" applyAlignment="1">
      <alignment horizontal="left" wrapText="1"/>
    </xf>
    <xf xfId="0" numFmtId="4" applyNumberFormat="1" borderId="7" applyBorder="1" fontId="1" applyFont="1" fillId="0" applyAlignment="1">
      <alignment horizontal="left" wrapText="1"/>
    </xf>
    <xf xfId="0" numFmtId="4" applyNumberFormat="1" borderId="5" applyBorder="1" fontId="1" applyFont="1" fillId="0" applyAlignment="1">
      <alignment horizontal="left" wrapText="1"/>
    </xf>
    <xf xfId="0" numFmtId="0" borderId="5" applyBorder="1" fontId="4" applyFont="1" fillId="0" applyAlignment="1">
      <alignment horizontal="left" wrapText="1"/>
    </xf>
    <xf xfId="0" numFmtId="4" applyNumberFormat="1" borderId="7" applyBorder="1" fontId="4" applyFont="1" fillId="0" applyAlignment="1">
      <alignment horizontal="right" wrapText="1"/>
    </xf>
    <xf xfId="0" numFmtId="4" applyNumberFormat="1" borderId="7" applyBorder="1" fontId="4" applyFont="1" fillId="0" applyAlignment="1">
      <alignment horizontal="left" wrapText="1"/>
    </xf>
    <xf xfId="0" numFmtId="4" applyNumberFormat="1" borderId="2" applyBorder="1" fontId="1" applyFont="1" fillId="0" applyAlignment="1">
      <alignment horizontal="right" wrapText="1"/>
    </xf>
    <xf xfId="0" numFmtId="3" applyNumberFormat="1" borderId="7" applyBorder="1" fontId="4" applyFont="1" fillId="0" applyAlignment="1">
      <alignment horizontal="right" wrapText="1"/>
    </xf>
    <xf xfId="0" numFmtId="0" borderId="0" fontId="0" fillId="0" applyAlignment="1">
      <alignment horizontal="left"/>
    </xf>
    <xf xfId="0" numFmtId="4" applyNumberFormat="1" borderId="0" fontId="0" fillId="0" applyAlignment="1">
      <alignment horizontal="general" wrapText="1"/>
    </xf>
    <xf xfId="0" numFmtId="0" borderId="0" fontId="0" fillId="0" applyAlignment="1">
      <alignment horizontal="general" wrapText="1"/>
    </xf>
    <xf xfId="0" numFmtId="0" borderId="3" applyBorder="1" fontId="4" applyFont="1" fillId="0" applyAlignment="1">
      <alignment horizontal="left" wrapText="1"/>
    </xf>
    <xf xfId="0" numFmtId="4" applyNumberFormat="1" borderId="8" applyBorder="1" fontId="4" applyFont="1" fillId="0" applyAlignment="1">
      <alignment horizontal="left" wrapText="1"/>
    </xf>
    <xf xfId="0" numFmtId="0" borderId="2" applyBorder="1" fontId="5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40"/>
  <sheetViews>
    <sheetView workbookViewId="0"/>
  </sheetViews>
  <sheetFormatPr defaultRowHeight="15" x14ac:dyDescent="0.25"/>
  <cols>
    <col min="1" max="1" style="33" width="24.576428571428572" customWidth="1" bestFit="1"/>
    <col min="2" max="2" style="34" width="14.290714285714287" customWidth="1" bestFit="1"/>
    <col min="3" max="3" style="34" width="12.576428571428572" customWidth="1" bestFit="1"/>
    <col min="4" max="4" style="34" width="12.576428571428572" customWidth="1" bestFit="1"/>
    <col min="5" max="5" style="34" width="11.719285714285713" customWidth="1" bestFit="1"/>
    <col min="6" max="6" style="34" width="12.576428571428572" customWidth="1" bestFit="1"/>
    <col min="7" max="7" style="34" width="12.576428571428572" customWidth="1" bestFit="1"/>
    <col min="8" max="8" style="34" width="12.576428571428572" customWidth="1" bestFit="1"/>
  </cols>
  <sheetData>
    <row x14ac:dyDescent="0.25" r="1" customHeight="1" ht="48.75" customFormat="1" s="20">
      <c r="A1" s="36" t="s">
        <v>0</v>
      </c>
      <c r="B1" s="37" t="s">
        <v>2</v>
      </c>
      <c r="C1" s="37" t="s">
        <v>184</v>
      </c>
      <c r="D1" s="37" t="s">
        <v>4</v>
      </c>
      <c r="E1" s="37" t="s">
        <v>5</v>
      </c>
      <c r="F1" s="37" t="s">
        <v>185</v>
      </c>
      <c r="G1" s="37" t="s">
        <v>7</v>
      </c>
      <c r="H1" s="37" t="s">
        <v>186</v>
      </c>
    </row>
    <row x14ac:dyDescent="0.25" r="2" customHeight="1" ht="21" customFormat="1" s="20">
      <c r="A2" s="28" t="s">
        <v>10</v>
      </c>
      <c r="B2" s="30"/>
      <c r="C2" s="30"/>
      <c r="D2" s="30"/>
      <c r="E2" s="30"/>
      <c r="F2" s="30"/>
      <c r="G2" s="30"/>
      <c r="H2" s="30"/>
    </row>
    <row x14ac:dyDescent="0.25" r="3" customHeight="1" ht="21" customFormat="1" s="20">
      <c r="A3" s="28" t="s">
        <v>9</v>
      </c>
      <c r="B3" s="29">
        <v>1.835706</v>
      </c>
      <c r="C3" s="29">
        <v>4.527348</v>
      </c>
      <c r="D3" s="32">
        <v>1</v>
      </c>
      <c r="E3" s="32">
        <v>1</v>
      </c>
      <c r="F3" s="29">
        <v>2.594175</v>
      </c>
      <c r="G3" s="32">
        <v>1</v>
      </c>
      <c r="H3" s="29">
        <v>21.55988</v>
      </c>
    </row>
    <row x14ac:dyDescent="0.25" r="4" customHeight="1" ht="21" customFormat="1" s="20">
      <c r="A4" s="28" t="s">
        <v>11</v>
      </c>
      <c r="B4" s="29">
        <v>2.820616</v>
      </c>
      <c r="C4" s="29">
        <v>7.915773</v>
      </c>
      <c r="D4" s="32">
        <v>1</v>
      </c>
      <c r="E4" s="32">
        <v>1</v>
      </c>
      <c r="F4" s="29">
        <v>2.89113</v>
      </c>
      <c r="G4" s="32">
        <v>1</v>
      </c>
      <c r="H4" s="29">
        <v>64.55128</v>
      </c>
    </row>
    <row x14ac:dyDescent="0.25" r="5" customHeight="1" ht="21" customFormat="1" s="20">
      <c r="A5" s="28" t="s">
        <v>12</v>
      </c>
      <c r="B5" s="29">
        <v>1.076388</v>
      </c>
      <c r="C5" s="29">
        <v>18.98519</v>
      </c>
      <c r="D5" s="32">
        <v>1</v>
      </c>
      <c r="E5" s="29">
        <v>0.9999999</v>
      </c>
      <c r="F5" s="29">
        <v>1.869562</v>
      </c>
      <c r="G5" s="32">
        <v>1</v>
      </c>
      <c r="H5" s="29">
        <v>38.20531</v>
      </c>
    </row>
    <row x14ac:dyDescent="0.25" r="6" customHeight="1" ht="21" customFormat="1" s="20">
      <c r="A6" s="28" t="s">
        <v>13</v>
      </c>
      <c r="B6" s="29">
        <v>1.154288</v>
      </c>
      <c r="C6" s="29">
        <v>67.93528</v>
      </c>
      <c r="D6" s="29">
        <v>1.000002</v>
      </c>
      <c r="E6" s="29">
        <v>0.9999993</v>
      </c>
      <c r="F6" s="29">
        <v>2.656616</v>
      </c>
      <c r="G6" s="32">
        <v>1</v>
      </c>
      <c r="H6" s="29">
        <v>208.3236</v>
      </c>
    </row>
    <row x14ac:dyDescent="0.25" r="7" customHeight="1" ht="21" customFormat="1" s="20">
      <c r="A7" s="28" t="s">
        <v>14</v>
      </c>
      <c r="B7" s="29">
        <v>1.042247</v>
      </c>
      <c r="C7" s="29">
        <v>9.003777</v>
      </c>
      <c r="D7" s="29">
        <v>1.000012</v>
      </c>
      <c r="E7" s="29">
        <v>0.9999965</v>
      </c>
      <c r="F7" s="29">
        <v>1.926513</v>
      </c>
      <c r="G7" s="32">
        <v>1</v>
      </c>
      <c r="H7" s="29">
        <v>18.07887</v>
      </c>
    </row>
    <row x14ac:dyDescent="0.25" r="8" customHeight="1" ht="21" customFormat="1" s="20">
      <c r="A8" s="28" t="s">
        <v>15</v>
      </c>
      <c r="B8" s="29">
        <v>1.084888</v>
      </c>
      <c r="C8" s="29">
        <v>23.54428</v>
      </c>
      <c r="D8" s="29">
        <v>1.000084</v>
      </c>
      <c r="E8" s="29">
        <v>0.9999829</v>
      </c>
      <c r="F8" s="29">
        <v>2.800328</v>
      </c>
      <c r="G8" s="29">
        <v>1.000001</v>
      </c>
      <c r="H8" s="29">
        <v>71.5334</v>
      </c>
    </row>
    <row x14ac:dyDescent="0.25" r="9" customHeight="1" ht="21" customFormat="1" s="20">
      <c r="A9" s="28" t="s">
        <v>16</v>
      </c>
      <c r="B9" s="29">
        <v>1.084409</v>
      </c>
      <c r="C9" s="29">
        <v>1.00589</v>
      </c>
      <c r="D9" s="32">
        <v>1</v>
      </c>
      <c r="E9" s="32">
        <v>1</v>
      </c>
      <c r="F9" s="29">
        <v>1.001487</v>
      </c>
      <c r="G9" s="32">
        <v>1</v>
      </c>
      <c r="H9" s="29">
        <v>1.092419</v>
      </c>
    </row>
    <row x14ac:dyDescent="0.25" r="10" customHeight="1" ht="21" customFormat="1" s="20">
      <c r="A10" s="28" t="s">
        <v>17</v>
      </c>
      <c r="B10" s="29">
        <v>1.127798</v>
      </c>
      <c r="C10" s="29">
        <v>9.078305</v>
      </c>
      <c r="D10" s="29">
        <v>1.000012</v>
      </c>
      <c r="E10" s="29">
        <v>0.9999964</v>
      </c>
      <c r="F10" s="29">
        <v>1.932141</v>
      </c>
      <c r="G10" s="32">
        <v>1</v>
      </c>
      <c r="H10" s="29">
        <v>19.78238</v>
      </c>
    </row>
    <row x14ac:dyDescent="0.25" r="11" customHeight="1" ht="21" customFormat="1" s="20">
      <c r="A11" s="28" t="s">
        <v>18</v>
      </c>
      <c r="B11" s="29">
        <v>1.17156</v>
      </c>
      <c r="C11" s="29">
        <v>23.77984</v>
      </c>
      <c r="D11" s="29">
        <v>1.000086</v>
      </c>
      <c r="E11" s="29">
        <v>0.9999826</v>
      </c>
      <c r="F11" s="29">
        <v>2.812307</v>
      </c>
      <c r="G11" s="29">
        <v>1.000001</v>
      </c>
      <c r="H11" s="29">
        <v>78.35492</v>
      </c>
    </row>
    <row x14ac:dyDescent="0.25" r="12" customHeight="1" ht="21" customFormat="1" s="20">
      <c r="A12" s="28" t="s">
        <v>19</v>
      </c>
      <c r="B12" s="29">
        <v>1.043136</v>
      </c>
      <c r="C12" s="29">
        <v>1.020339</v>
      </c>
      <c r="D12" s="29">
        <v>1.002218</v>
      </c>
      <c r="E12" s="29">
        <v>0.9999725</v>
      </c>
      <c r="F12" s="29">
        <v>2.055512</v>
      </c>
      <c r="G12" s="29">
        <v>1.000006</v>
      </c>
      <c r="H12" s="29">
        <v>2.192593</v>
      </c>
    </row>
    <row x14ac:dyDescent="0.25" r="13" customHeight="1" ht="21" customFormat="1" s="20">
      <c r="A13" s="28" t="s">
        <v>187</v>
      </c>
      <c r="B13" s="29">
        <v>1.086876</v>
      </c>
      <c r="C13" s="29">
        <v>1.04142</v>
      </c>
      <c r="D13" s="29">
        <v>1.004575</v>
      </c>
      <c r="E13" s="29">
        <v>0.9999443</v>
      </c>
      <c r="F13" s="29">
        <v>1.057082</v>
      </c>
      <c r="G13" s="29">
        <v>1.00001</v>
      </c>
      <c r="H13" s="29">
        <v>1.201924</v>
      </c>
    </row>
    <row x14ac:dyDescent="0.25" r="14" customHeight="1" ht="21" customFormat="1" s="20">
      <c r="A14" s="28" t="s">
        <v>20</v>
      </c>
      <c r="B14" s="29">
        <v>1.053873</v>
      </c>
      <c r="C14" s="29">
        <v>1.109736</v>
      </c>
      <c r="D14" s="29">
        <v>1.000001</v>
      </c>
      <c r="E14" s="29">
        <v>0.9999999</v>
      </c>
      <c r="F14" s="29">
        <v>2.068513</v>
      </c>
      <c r="G14" s="32">
        <v>1</v>
      </c>
      <c r="H14" s="29">
        <v>2.419172</v>
      </c>
    </row>
    <row x14ac:dyDescent="0.25" r="15" customHeight="1" ht="20" customFormat="1" s="20">
      <c r="A15" s="28" t="s">
        <v>21</v>
      </c>
      <c r="B15" s="29">
        <v>1.108681</v>
      </c>
      <c r="C15" s="29">
        <v>1.233754</v>
      </c>
      <c r="D15" s="29">
        <v>1.000002</v>
      </c>
      <c r="E15" s="29">
        <v>0.9999998</v>
      </c>
      <c r="F15" s="29">
        <v>1.07095</v>
      </c>
      <c r="G15" s="32">
        <v>1</v>
      </c>
      <c r="H15" s="29">
        <v>1.464891</v>
      </c>
    </row>
    <row x14ac:dyDescent="0.25" r="16" customHeight="1" ht="20" customFormat="1" s="20">
      <c r="A16" s="28" t="s">
        <v>22</v>
      </c>
      <c r="B16" s="29">
        <v>1.050632</v>
      </c>
      <c r="C16" s="29">
        <v>1.072187</v>
      </c>
      <c r="D16" s="29">
        <v>1.000006</v>
      </c>
      <c r="E16" s="29">
        <v>0.9999993</v>
      </c>
      <c r="F16" s="29">
        <v>1.028274</v>
      </c>
      <c r="G16" s="32">
        <v>1</v>
      </c>
      <c r="H16" s="29">
        <v>1.15833</v>
      </c>
    </row>
    <row x14ac:dyDescent="0.25" r="17" customHeight="1" ht="20" customFormat="1" s="20">
      <c r="A17" s="28" t="s">
        <v>23</v>
      </c>
      <c r="B17" s="29">
        <v>1.101875</v>
      </c>
      <c r="C17" s="29">
        <v>1.141379</v>
      </c>
      <c r="D17" s="29">
        <v>1.000012</v>
      </c>
      <c r="E17" s="29">
        <v>0.9999986</v>
      </c>
      <c r="F17" s="29">
        <v>1.054664</v>
      </c>
      <c r="G17" s="32">
        <v>1</v>
      </c>
      <c r="H17" s="29">
        <v>1.32642</v>
      </c>
    </row>
    <row x14ac:dyDescent="0.25" r="18" customHeight="1" ht="20" customFormat="1" s="20">
      <c r="A18" s="28" t="s">
        <v>24</v>
      </c>
      <c r="B18" s="29">
        <v>1.050267</v>
      </c>
      <c r="C18" s="29">
        <v>1.093936</v>
      </c>
      <c r="D18" s="29">
        <v>1.000008</v>
      </c>
      <c r="E18" s="29">
        <v>0.9999991</v>
      </c>
      <c r="F18" s="29">
        <v>1.036634</v>
      </c>
      <c r="G18" s="32">
        <v>1</v>
      </c>
      <c r="H18" s="29">
        <v>1.191023</v>
      </c>
    </row>
    <row x14ac:dyDescent="0.25" r="19" customHeight="1" ht="20" customFormat="1" s="20">
      <c r="A19" s="28" t="s">
        <v>25</v>
      </c>
      <c r="B19" s="29">
        <v>1.10172</v>
      </c>
      <c r="C19" s="29">
        <v>1.174449</v>
      </c>
      <c r="D19" s="29">
        <v>1.000015</v>
      </c>
      <c r="E19" s="29">
        <v>0.9999982</v>
      </c>
      <c r="F19" s="29">
        <v>1.067054</v>
      </c>
      <c r="G19" s="32">
        <v>1</v>
      </c>
      <c r="H19" s="29">
        <v>1.380695</v>
      </c>
    </row>
    <row x14ac:dyDescent="0.25" r="20" customHeight="1" ht="20" customFormat="1" s="20">
      <c r="A20" s="28" t="s">
        <v>26</v>
      </c>
      <c r="B20" s="29">
        <v>1.153767</v>
      </c>
      <c r="C20" s="29">
        <v>1.25169</v>
      </c>
      <c r="D20" s="29">
        <v>1.000023</v>
      </c>
      <c r="E20" s="29">
        <v>0.9999974</v>
      </c>
      <c r="F20" s="29">
        <v>1.095508</v>
      </c>
      <c r="G20" s="32">
        <v>1</v>
      </c>
      <c r="H20" s="29">
        <v>1.582121</v>
      </c>
    </row>
    <row x14ac:dyDescent="0.25" r="21" customHeight="1" ht="20" customFormat="1" s="20">
      <c r="A21" s="28" t="s">
        <v>188</v>
      </c>
      <c r="B21" s="29">
        <v>1.047455</v>
      </c>
      <c r="C21" s="29">
        <v>1.064547</v>
      </c>
      <c r="D21" s="29">
        <v>1.000028</v>
      </c>
      <c r="E21" s="29">
        <v>0.9999974</v>
      </c>
      <c r="F21" s="29">
        <v>2.060719</v>
      </c>
      <c r="G21" s="32">
        <v>1</v>
      </c>
      <c r="H21" s="29">
        <v>2.297897</v>
      </c>
    </row>
    <row x14ac:dyDescent="0.25" r="22" customHeight="1" ht="20" customFormat="1" s="20">
      <c r="A22" s="28" t="s">
        <v>27</v>
      </c>
      <c r="B22" s="29">
        <v>1.095436</v>
      </c>
      <c r="C22" s="29">
        <v>1.126047</v>
      </c>
      <c r="D22" s="29">
        <v>1.000057</v>
      </c>
      <c r="E22" s="29">
        <v>0.9999948</v>
      </c>
      <c r="F22" s="29">
        <v>2.11762</v>
      </c>
      <c r="G22" s="32">
        <v>1</v>
      </c>
      <c r="H22" s="29">
        <v>2.612244</v>
      </c>
    </row>
    <row x14ac:dyDescent="0.25" r="23" customHeight="1" ht="20" customFormat="1" s="20">
      <c r="A23" s="28" t="s">
        <v>28</v>
      </c>
      <c r="B23" s="29">
        <v>1.095638</v>
      </c>
      <c r="C23" s="29">
        <v>1.134351</v>
      </c>
      <c r="D23" s="29">
        <v>1.000061</v>
      </c>
      <c r="E23" s="29">
        <v>0.9999945</v>
      </c>
      <c r="F23" s="29">
        <v>1.062623</v>
      </c>
      <c r="G23" s="32">
        <v>1</v>
      </c>
      <c r="H23" s="29">
        <v>1.320742</v>
      </c>
    </row>
    <row x14ac:dyDescent="0.25" r="24" customHeight="1" ht="20" customFormat="1" s="20">
      <c r="A24" s="28" t="s">
        <v>29</v>
      </c>
      <c r="B24" s="29">
        <v>1.144333</v>
      </c>
      <c r="C24" s="29">
        <v>1.200942</v>
      </c>
      <c r="D24" s="29">
        <v>1.000094</v>
      </c>
      <c r="E24" s="29">
        <v>0.9999916</v>
      </c>
      <c r="F24" s="29">
        <v>2.185827</v>
      </c>
      <c r="G24" s="32">
        <v>1</v>
      </c>
      <c r="H24" s="29">
        <v>3.00419</v>
      </c>
    </row>
    <row x14ac:dyDescent="0.25" r="25" customHeight="1" ht="20" customFormat="1" s="20">
      <c r="A25" s="28" t="s">
        <v>30</v>
      </c>
      <c r="B25" s="29">
        <v>1.193728</v>
      </c>
      <c r="C25" s="29">
        <v>1.272497</v>
      </c>
      <c r="D25" s="29">
        <v>1.000131</v>
      </c>
      <c r="E25" s="29">
        <v>0.9999885</v>
      </c>
      <c r="F25" s="29">
        <v>1.124986</v>
      </c>
      <c r="G25" s="29">
        <v>1.000001</v>
      </c>
      <c r="H25" s="29">
        <v>1.709077</v>
      </c>
    </row>
    <row x14ac:dyDescent="0.25" r="26" customHeight="1" ht="20" customFormat="1" s="20">
      <c r="A26" s="28" t="s">
        <v>31</v>
      </c>
      <c r="B26" s="29">
        <v>1.023535</v>
      </c>
      <c r="C26" s="29">
        <v>1.014751</v>
      </c>
      <c r="D26" s="29">
        <v>1.000638</v>
      </c>
      <c r="E26" s="29">
        <v>0.9999905</v>
      </c>
      <c r="F26" s="29">
        <v>2.030757</v>
      </c>
      <c r="G26" s="29">
        <v>1.000001</v>
      </c>
      <c r="H26" s="29">
        <v>2.11054</v>
      </c>
    </row>
    <row x14ac:dyDescent="0.25" r="27" customHeight="1" ht="20" customFormat="1" s="20">
      <c r="A27" s="28" t="s">
        <v>32</v>
      </c>
      <c r="B27" s="29">
        <v>1.047181</v>
      </c>
      <c r="C27" s="29">
        <v>1.02892</v>
      </c>
      <c r="D27" s="29">
        <v>1.00126</v>
      </c>
      <c r="E27" s="29">
        <v>0.9999796</v>
      </c>
      <c r="F27" s="29">
        <v>2.060493</v>
      </c>
      <c r="G27" s="29">
        <v>1.000002</v>
      </c>
      <c r="H27" s="29">
        <v>2.222866</v>
      </c>
    </row>
    <row x14ac:dyDescent="0.25" r="28" customHeight="1" ht="20" customFormat="1" s="20">
      <c r="A28" s="28" t="s">
        <v>33</v>
      </c>
      <c r="B28" s="29">
        <v>1.095164</v>
      </c>
      <c r="C28" s="29">
        <v>1.05578</v>
      </c>
      <c r="D28" s="29">
        <v>1.002466</v>
      </c>
      <c r="E28" s="29">
        <v>0.9999626</v>
      </c>
      <c r="F28" s="29">
        <v>2.117527</v>
      </c>
      <c r="G28" s="29">
        <v>1.000005</v>
      </c>
      <c r="H28" s="29">
        <v>2.454352</v>
      </c>
    </row>
    <row x14ac:dyDescent="0.25" r="29" customHeight="1" ht="20" customFormat="1" s="20">
      <c r="A29" s="28" t="s">
        <v>34</v>
      </c>
      <c r="B29" s="29">
        <v>1.047252</v>
      </c>
      <c r="C29" s="29">
        <v>1.029855</v>
      </c>
      <c r="D29" s="29">
        <v>1.001302</v>
      </c>
      <c r="E29" s="29">
        <v>0.9999808</v>
      </c>
      <c r="F29" s="29">
        <v>1.031238</v>
      </c>
      <c r="G29" s="29">
        <v>1.000003</v>
      </c>
      <c r="H29" s="29">
        <v>1.113638</v>
      </c>
    </row>
    <row x14ac:dyDescent="0.25" r="30" customHeight="1" ht="20" customFormat="1" s="20">
      <c r="A30" s="28" t="s">
        <v>35</v>
      </c>
      <c r="B30" s="29">
        <v>1.071077</v>
      </c>
      <c r="C30" s="29">
        <v>1.044345</v>
      </c>
      <c r="D30" s="29">
        <v>1.001948</v>
      </c>
      <c r="E30" s="29">
        <v>0.9999697</v>
      </c>
      <c r="F30" s="29">
        <v>2.093155</v>
      </c>
      <c r="G30" s="29">
        <v>1.000004</v>
      </c>
      <c r="H30" s="29">
        <v>2.345848</v>
      </c>
    </row>
    <row x14ac:dyDescent="0.25" r="31" customHeight="1" ht="20" customFormat="1" s="20">
      <c r="A31" s="28" t="s">
        <v>36</v>
      </c>
      <c r="B31" s="29">
        <v>1.119417</v>
      </c>
      <c r="C31" s="29">
        <v>1.071806</v>
      </c>
      <c r="D31" s="29">
        <v>1.003202</v>
      </c>
      <c r="E31" s="29">
        <v>0.9999524</v>
      </c>
      <c r="F31" s="29">
        <v>2.152065</v>
      </c>
      <c r="G31" s="29">
        <v>1.000006</v>
      </c>
      <c r="H31" s="29">
        <v>2.5902</v>
      </c>
    </row>
    <row x14ac:dyDescent="0.25" r="32" customHeight="1" ht="20" customFormat="1" s="20">
      <c r="A32" s="28" t="s">
        <v>37</v>
      </c>
      <c r="B32" s="29">
        <v>1.095081</v>
      </c>
      <c r="C32" s="29">
        <v>1.059136</v>
      </c>
      <c r="D32" s="29">
        <v>1.002619</v>
      </c>
      <c r="E32" s="29">
        <v>0.9999608</v>
      </c>
      <c r="F32" s="29">
        <v>1.062394</v>
      </c>
      <c r="G32" s="29">
        <v>1.000005</v>
      </c>
      <c r="H32" s="29">
        <v>1.235391</v>
      </c>
    </row>
    <row x14ac:dyDescent="0.25" r="33" customHeight="1" ht="20" customFormat="1" s="20">
      <c r="A33" s="28" t="s">
        <v>38</v>
      </c>
      <c r="B33" s="29">
        <v>1.143774</v>
      </c>
      <c r="C33" s="29">
        <v>1.087215</v>
      </c>
      <c r="D33" s="29">
        <v>1.003921</v>
      </c>
      <c r="E33" s="29">
        <v>0.9999433</v>
      </c>
      <c r="F33" s="29">
        <v>2.18549</v>
      </c>
      <c r="G33" s="29">
        <v>1.000007</v>
      </c>
      <c r="H33" s="29">
        <v>2.728239</v>
      </c>
    </row>
    <row x14ac:dyDescent="0.25" r="34" customHeight="1" ht="20" customFormat="1" s="20">
      <c r="A34" s="28" t="s">
        <v>39</v>
      </c>
      <c r="B34" s="29">
        <v>1.193168</v>
      </c>
      <c r="C34" s="29">
        <v>1.116449</v>
      </c>
      <c r="D34" s="29">
        <v>1.005316</v>
      </c>
      <c r="E34" s="29">
        <v>0.9999251</v>
      </c>
      <c r="F34" s="29">
        <v>1.124883</v>
      </c>
      <c r="G34" s="29">
        <v>1.00001</v>
      </c>
      <c r="H34" s="29">
        <v>1.506338</v>
      </c>
    </row>
    <row x14ac:dyDescent="0.25" r="35" customHeight="1" ht="20" customFormat="1" s="20">
      <c r="A35" s="28" t="s">
        <v>40</v>
      </c>
      <c r="B35" s="29">
        <v>1.031567</v>
      </c>
      <c r="C35" s="29">
        <v>1.062587</v>
      </c>
      <c r="D35" s="29">
        <v>1.00028</v>
      </c>
      <c r="E35" s="29">
        <v>0.9999867</v>
      </c>
      <c r="F35" s="29">
        <v>1.040937</v>
      </c>
      <c r="G35" s="29">
        <v>1.000001</v>
      </c>
      <c r="H35" s="29">
        <v>1.141308</v>
      </c>
    </row>
    <row x14ac:dyDescent="0.25" r="36" customHeight="1" ht="20" customFormat="1" s="20">
      <c r="A36" s="28" t="s">
        <v>40</v>
      </c>
      <c r="B36" s="29">
        <v>1.031567</v>
      </c>
      <c r="C36" s="29">
        <v>1.062587</v>
      </c>
      <c r="D36" s="29">
        <v>1.00028</v>
      </c>
      <c r="E36" s="29">
        <v>0.9999867</v>
      </c>
      <c r="F36" s="29">
        <v>1.040937</v>
      </c>
      <c r="G36" s="29">
        <v>1.000001</v>
      </c>
      <c r="H36" s="29">
        <v>1.141308</v>
      </c>
    </row>
    <row x14ac:dyDescent="0.25" r="37" customHeight="1" ht="20" customFormat="1" s="20">
      <c r="A37" s="28" t="s">
        <v>41</v>
      </c>
      <c r="B37" s="29">
        <v>1.063326</v>
      </c>
      <c r="C37" s="29">
        <v>1.12242</v>
      </c>
      <c r="D37" s="29">
        <v>1.000564</v>
      </c>
      <c r="E37" s="29">
        <v>0.999974</v>
      </c>
      <c r="F37" s="29">
        <v>1.080072</v>
      </c>
      <c r="G37" s="29">
        <v>1.000002</v>
      </c>
      <c r="H37" s="29">
        <v>1.28976</v>
      </c>
    </row>
    <row x14ac:dyDescent="0.25" r="38" customHeight="1" ht="20" customFormat="1" s="20">
      <c r="A38" s="28" t="s">
        <v>42</v>
      </c>
      <c r="B38" s="29">
        <v>1.031415</v>
      </c>
      <c r="C38" s="29">
        <v>1.01558</v>
      </c>
      <c r="D38" s="29">
        <v>1.000068</v>
      </c>
      <c r="E38" s="29">
        <v>0.9999965</v>
      </c>
      <c r="F38" s="29">
        <v>1.010197</v>
      </c>
      <c r="G38" s="32">
        <v>1</v>
      </c>
      <c r="H38" s="29">
        <v>1.058234</v>
      </c>
    </row>
    <row x14ac:dyDescent="0.25" r="39" customHeight="1" ht="20" customFormat="1" s="20">
      <c r="A39" s="28" t="s">
        <v>43</v>
      </c>
      <c r="B39" s="29">
        <v>1.063306</v>
      </c>
      <c r="C39" s="29">
        <v>1.079497</v>
      </c>
      <c r="D39" s="29">
        <v>1.000359</v>
      </c>
      <c r="E39" s="29">
        <v>0.9999831</v>
      </c>
      <c r="F39" s="29">
        <v>1.051992</v>
      </c>
      <c r="G39" s="29">
        <v>1.000001</v>
      </c>
      <c r="H39" s="29">
        <v>1.207928</v>
      </c>
    </row>
    <row x14ac:dyDescent="0.25" r="40" customHeight="1" ht="20" customFormat="1" s="20">
      <c r="A40" s="28" t="s">
        <v>44</v>
      </c>
      <c r="B40" s="29">
        <v>1.095384</v>
      </c>
      <c r="C40" s="29">
        <v>1.140627</v>
      </c>
      <c r="D40" s="29">
        <v>1.000654</v>
      </c>
      <c r="E40" s="29">
        <v>0.9999699</v>
      </c>
      <c r="F40" s="29">
        <v>1.091979</v>
      </c>
      <c r="G40" s="29">
        <v>1.000002</v>
      </c>
      <c r="H40" s="29">
        <v>1.3652</v>
      </c>
    </row>
    <row x14ac:dyDescent="0.25" r="41" customHeight="1" ht="20" customFormat="1" s="20">
      <c r="A41" s="28" t="s">
        <v>45</v>
      </c>
      <c r="B41" s="29">
        <v>1.063056</v>
      </c>
      <c r="C41" s="29">
        <v>1.030493</v>
      </c>
      <c r="D41" s="29">
        <v>1.000134</v>
      </c>
      <c r="E41" s="29">
        <v>0.9999935</v>
      </c>
      <c r="F41" s="29">
        <v>1.019962</v>
      </c>
      <c r="G41" s="32">
        <v>1</v>
      </c>
      <c r="H41" s="29">
        <v>1.117483</v>
      </c>
    </row>
    <row x14ac:dyDescent="0.25" r="42" customHeight="1" ht="20" customFormat="1" s="20">
      <c r="A42" s="28" t="s">
        <v>46</v>
      </c>
      <c r="B42" s="29">
        <v>1.095267</v>
      </c>
      <c r="C42" s="29">
        <v>1.09568</v>
      </c>
      <c r="D42" s="29">
        <v>1.000435</v>
      </c>
      <c r="E42" s="29">
        <v>0.9999796</v>
      </c>
      <c r="F42" s="29">
        <v>1.062587</v>
      </c>
      <c r="G42" s="29">
        <v>1.000001</v>
      </c>
      <c r="H42" s="29">
        <v>1.275701</v>
      </c>
    </row>
    <row x14ac:dyDescent="0.25" r="43" customHeight="1" ht="20" customFormat="1" s="20">
      <c r="A43" s="28" t="s">
        <v>47</v>
      </c>
      <c r="B43" s="29">
        <v>1.12766</v>
      </c>
      <c r="C43" s="29">
        <v>1.158047</v>
      </c>
      <c r="D43" s="29">
        <v>1.000741</v>
      </c>
      <c r="E43" s="29">
        <v>0.9999663</v>
      </c>
      <c r="F43" s="29">
        <v>1.103395</v>
      </c>
      <c r="G43" s="29">
        <v>1.000002</v>
      </c>
      <c r="H43" s="29">
        <v>1.441928</v>
      </c>
    </row>
    <row x14ac:dyDescent="0.25" r="44" customHeight="1" ht="20" customFormat="1" s="20">
      <c r="A44" s="28" t="s">
        <v>48</v>
      </c>
      <c r="B44" s="29">
        <v>1.127496</v>
      </c>
      <c r="C44" s="29">
        <v>1.058718</v>
      </c>
      <c r="D44" s="29">
        <v>1.000262</v>
      </c>
      <c r="E44" s="29">
        <v>0.9999876</v>
      </c>
      <c r="F44" s="29">
        <v>1.038414</v>
      </c>
      <c r="G44" s="29">
        <v>1.000001</v>
      </c>
      <c r="H44" s="29">
        <v>1.239866</v>
      </c>
    </row>
    <row x14ac:dyDescent="0.25" r="45" customHeight="1" ht="20" customFormat="1" s="20">
      <c r="A45" s="28" t="s">
        <v>49</v>
      </c>
      <c r="B45" s="29">
        <v>1.160339</v>
      </c>
      <c r="C45" s="29">
        <v>1.062587</v>
      </c>
      <c r="D45" s="29">
        <v>1.00028</v>
      </c>
      <c r="E45" s="29">
        <v>0.9999867</v>
      </c>
      <c r="F45" s="29">
        <v>1.040937</v>
      </c>
      <c r="G45" s="29">
        <v>1.000001</v>
      </c>
      <c r="H45" s="29">
        <v>1.283778</v>
      </c>
    </row>
    <row x14ac:dyDescent="0.25" r="46" customHeight="1" ht="20" customFormat="1" s="20">
      <c r="A46" s="28" t="s">
        <v>50</v>
      </c>
      <c r="B46" s="29">
        <v>1.193355</v>
      </c>
      <c r="C46" s="29">
        <v>1.191083</v>
      </c>
      <c r="D46" s="29">
        <v>1.00091</v>
      </c>
      <c r="E46" s="29">
        <v>0.9999592</v>
      </c>
      <c r="F46" s="29">
        <v>1.125031</v>
      </c>
      <c r="G46" s="29">
        <v>1.000003</v>
      </c>
      <c r="H46" s="29">
        <v>1.600496</v>
      </c>
    </row>
    <row x14ac:dyDescent="0.25" r="47" customHeight="1" ht="20" customFormat="1" s="20">
      <c r="A47" s="28" t="s">
        <v>51</v>
      </c>
      <c r="B47" s="29">
        <v>1.054287</v>
      </c>
      <c r="C47" s="29">
        <v>1.075269</v>
      </c>
      <c r="D47" s="29">
        <v>1.000002</v>
      </c>
      <c r="E47" s="29">
        <v>0.9999998</v>
      </c>
      <c r="F47" s="29">
        <v>1.025892</v>
      </c>
      <c r="G47" s="32">
        <v>1</v>
      </c>
      <c r="H47" s="29">
        <v>1.162996</v>
      </c>
    </row>
    <row x14ac:dyDescent="0.25" r="48" customHeight="1" ht="20" customFormat="1" s="20">
      <c r="A48" s="28" t="s">
        <v>52</v>
      </c>
      <c r="B48" s="29">
        <v>1.10929</v>
      </c>
      <c r="C48" s="29">
        <v>1.147497</v>
      </c>
      <c r="D48" s="29">
        <v>1.000003</v>
      </c>
      <c r="E48" s="29">
        <v>0.9999996</v>
      </c>
      <c r="F48" s="29">
        <v>1.049954</v>
      </c>
      <c r="G48" s="32">
        <v>1</v>
      </c>
      <c r="H48" s="29">
        <v>1.336497</v>
      </c>
    </row>
    <row x14ac:dyDescent="0.25" r="49" customHeight="1" ht="20" customFormat="1" s="20">
      <c r="A49" s="28" t="s">
        <v>53</v>
      </c>
      <c r="B49" s="29">
        <v>1.05424</v>
      </c>
      <c r="C49" s="29">
        <v>1.135382</v>
      </c>
      <c r="D49" s="29">
        <v>1.000003</v>
      </c>
      <c r="E49" s="29">
        <v>0.9999996</v>
      </c>
      <c r="F49" s="29">
        <v>1.045963</v>
      </c>
      <c r="G49" s="32">
        <v>1</v>
      </c>
      <c r="H49" s="29">
        <v>1.251984</v>
      </c>
    </row>
    <row x14ac:dyDescent="0.25" r="50" customHeight="1" ht="20" customFormat="1" s="20">
      <c r="A50" s="28" t="s">
        <v>54</v>
      </c>
      <c r="B50" s="29">
        <v>1.109474</v>
      </c>
      <c r="C50" s="29">
        <v>1.222901</v>
      </c>
      <c r="D50" s="29">
        <v>1.000005</v>
      </c>
      <c r="E50" s="29">
        <v>0.9999994</v>
      </c>
      <c r="F50" s="29">
        <v>1.074332</v>
      </c>
      <c r="G50" s="32">
        <v>1</v>
      </c>
      <c r="H50" s="29">
        <v>1.457635</v>
      </c>
    </row>
    <row x14ac:dyDescent="0.25" r="51" customHeight="1" ht="20" customFormat="1" s="20">
      <c r="A51" s="28" t="s">
        <v>55</v>
      </c>
      <c r="B51" s="29">
        <v>1.165404</v>
      </c>
      <c r="C51" s="29">
        <v>1.307075</v>
      </c>
      <c r="D51" s="29">
        <v>1.000008</v>
      </c>
      <c r="E51" s="29">
        <v>0.9999991</v>
      </c>
      <c r="F51" s="29">
        <v>1.100757</v>
      </c>
      <c r="G51" s="32">
        <v>1</v>
      </c>
      <c r="H51" s="29">
        <v>1.676763</v>
      </c>
    </row>
    <row x14ac:dyDescent="0.25" r="52" customHeight="1" ht="20" customFormat="1" s="20">
      <c r="A52" s="28" t="s">
        <v>56</v>
      </c>
      <c r="B52" s="29">
        <v>1.109234</v>
      </c>
      <c r="C52" s="29">
        <v>1.268365</v>
      </c>
      <c r="D52" s="29">
        <v>1.000006</v>
      </c>
      <c r="E52" s="29">
        <v>0.9999993</v>
      </c>
      <c r="F52" s="29">
        <v>1.088707</v>
      </c>
      <c r="G52" s="32">
        <v>1</v>
      </c>
      <c r="H52" s="29">
        <v>1.531726</v>
      </c>
    </row>
    <row x14ac:dyDescent="0.25" r="53" customHeight="1" ht="20" customFormat="1" s="20">
      <c r="A53" s="28" t="s">
        <v>57</v>
      </c>
      <c r="B53" s="29">
        <v>1.165396</v>
      </c>
      <c r="C53" s="29">
        <v>1.368259</v>
      </c>
      <c r="D53" s="29">
        <v>1.000009</v>
      </c>
      <c r="E53" s="29">
        <v>0.999999</v>
      </c>
      <c r="F53" s="29">
        <v>1.119485</v>
      </c>
      <c r="G53" s="32">
        <v>1</v>
      </c>
      <c r="H53" s="29">
        <v>1.785105</v>
      </c>
    </row>
    <row x14ac:dyDescent="0.25" r="54" customHeight="1" ht="20" customFormat="1" s="20">
      <c r="A54" s="28" t="s">
        <v>58</v>
      </c>
      <c r="B54" s="29">
        <v>1.222236</v>
      </c>
      <c r="C54" s="29">
        <v>1.46452</v>
      </c>
      <c r="D54" s="29">
        <v>1.000012</v>
      </c>
      <c r="E54" s="29">
        <v>0.9999987</v>
      </c>
      <c r="F54" s="29">
        <v>1.148215</v>
      </c>
      <c r="G54" s="32">
        <v>1</v>
      </c>
      <c r="H54" s="29">
        <v>2.055315</v>
      </c>
    </row>
    <row x14ac:dyDescent="0.25" r="55" customHeight="1" ht="20" customFormat="1" s="20">
      <c r="A55" s="28" t="s">
        <v>59</v>
      </c>
      <c r="B55" s="29">
        <v>1.034285</v>
      </c>
      <c r="C55" s="29">
        <v>1.01415</v>
      </c>
      <c r="D55" s="29">
        <v>1.000032</v>
      </c>
      <c r="E55" s="29">
        <v>0.9999984</v>
      </c>
      <c r="F55" s="29">
        <v>1.008329</v>
      </c>
      <c r="G55" s="32">
        <v>1</v>
      </c>
      <c r="H55" s="29">
        <v>1.057688</v>
      </c>
    </row>
    <row x14ac:dyDescent="0.25" r="56" customHeight="1" ht="20" customFormat="1" s="20">
      <c r="A56" s="28" t="s">
        <v>60</v>
      </c>
      <c r="B56" s="29">
        <v>1.068848</v>
      </c>
      <c r="C56" s="29">
        <v>1.027661</v>
      </c>
      <c r="D56" s="29">
        <v>1.000062</v>
      </c>
      <c r="E56" s="29">
        <v>0.9999969</v>
      </c>
      <c r="F56" s="29">
        <v>1.016275</v>
      </c>
      <c r="G56" s="32">
        <v>1</v>
      </c>
      <c r="H56" s="29">
        <v>1.116356</v>
      </c>
    </row>
    <row x14ac:dyDescent="0.25" r="57" customHeight="1" ht="20" customFormat="1" s="20">
      <c r="A57" s="28" t="s">
        <v>61</v>
      </c>
      <c r="B57" s="29">
        <v>1.13933</v>
      </c>
      <c r="C57" s="29">
        <v>1.053114</v>
      </c>
      <c r="D57" s="29">
        <v>1.000121</v>
      </c>
      <c r="E57" s="29">
        <v>0.9999942</v>
      </c>
      <c r="F57" s="29">
        <v>1.031216</v>
      </c>
      <c r="G57" s="32">
        <v>1</v>
      </c>
      <c r="H57" s="29">
        <v>1.237441</v>
      </c>
    </row>
    <row x14ac:dyDescent="0.25" r="58" customHeight="1" ht="20" customFormat="1" s="20">
      <c r="A58" s="28" t="s">
        <v>62</v>
      </c>
      <c r="B58" s="29">
        <v>1.034422</v>
      </c>
      <c r="C58" s="29">
        <v>1.101235</v>
      </c>
      <c r="D58" s="29">
        <v>1.000236</v>
      </c>
      <c r="E58" s="29">
        <v>0.9999888</v>
      </c>
      <c r="F58" s="29">
        <v>1.059351</v>
      </c>
      <c r="G58" s="29">
        <v>1.000001</v>
      </c>
      <c r="H58" s="29">
        <v>1.207022</v>
      </c>
    </row>
    <row x14ac:dyDescent="0.25" r="59" customHeight="1" ht="20" customFormat="1" s="20">
      <c r="A59" s="28" t="s">
        <v>63</v>
      </c>
      <c r="B59" s="29">
        <v>1.069091</v>
      </c>
      <c r="C59" s="29">
        <v>1.117288</v>
      </c>
      <c r="D59" s="29">
        <v>1.000275</v>
      </c>
      <c r="E59" s="29">
        <v>0.9999869</v>
      </c>
      <c r="F59" s="29">
        <v>1.068705</v>
      </c>
      <c r="G59" s="29">
        <v>1.000001</v>
      </c>
      <c r="H59" s="29">
        <v>1.276884</v>
      </c>
    </row>
    <row x14ac:dyDescent="0.25" r="60" customHeight="1" ht="20" customFormat="1" s="20">
      <c r="A60" s="28" t="s">
        <v>64</v>
      </c>
      <c r="B60" s="29">
        <v>1.104034</v>
      </c>
      <c r="C60" s="29">
        <v>1.13262</v>
      </c>
      <c r="D60" s="29">
        <v>1.000313</v>
      </c>
      <c r="E60" s="29">
        <v>0.9999851</v>
      </c>
      <c r="F60" s="29">
        <v>1.077636</v>
      </c>
      <c r="G60" s="29">
        <v>1.000001</v>
      </c>
      <c r="H60" s="29">
        <v>1.347934</v>
      </c>
    </row>
    <row x14ac:dyDescent="0.25" r="61" customHeight="1" ht="20" customFormat="1" s="20">
      <c r="A61" s="28" t="s">
        <v>65</v>
      </c>
      <c r="B61" s="29">
        <v>1.175264</v>
      </c>
      <c r="C61" s="29">
        <v>1.161529</v>
      </c>
      <c r="D61" s="29">
        <v>1.000387</v>
      </c>
      <c r="E61" s="29">
        <v>0.9999819</v>
      </c>
      <c r="F61" s="29">
        <v>1.094453</v>
      </c>
      <c r="G61" s="29">
        <v>1.000001</v>
      </c>
      <c r="H61" s="29">
        <v>1.494596</v>
      </c>
    </row>
    <row x14ac:dyDescent="0.25" r="62" customHeight="1" ht="20" customFormat="1" s="20">
      <c r="A62" s="28" t="s">
        <v>66</v>
      </c>
      <c r="B62" s="29">
        <v>1.069108</v>
      </c>
      <c r="C62" s="29">
        <v>1.198556</v>
      </c>
      <c r="D62" s="29">
        <v>1.000484</v>
      </c>
      <c r="E62" s="29">
        <v>0.9999776</v>
      </c>
      <c r="F62" s="29">
        <v>1.115922</v>
      </c>
      <c r="G62" s="29">
        <v>1.000001</v>
      </c>
      <c r="H62" s="29">
        <v>1.430589</v>
      </c>
    </row>
    <row x14ac:dyDescent="0.25" r="63" customHeight="1" ht="20" customFormat="1" s="20">
      <c r="A63" s="28" t="s">
        <v>67</v>
      </c>
      <c r="B63" s="29">
        <v>1.104157</v>
      </c>
      <c r="C63" s="29">
        <v>1.216461</v>
      </c>
      <c r="D63" s="29">
        <v>1.000532</v>
      </c>
      <c r="E63" s="29">
        <v>0.9999756</v>
      </c>
      <c r="F63" s="29">
        <v>1.126307</v>
      </c>
      <c r="G63" s="29">
        <v>1.000002</v>
      </c>
      <c r="H63" s="29">
        <v>1.513584</v>
      </c>
    </row>
    <row x14ac:dyDescent="0.25" r="64" customHeight="1" ht="20" customFormat="1" s="20">
      <c r="A64" s="28" t="s">
        <v>68</v>
      </c>
      <c r="B64" s="29">
        <v>1.139474</v>
      </c>
      <c r="C64" s="29">
        <v>1.233608</v>
      </c>
      <c r="D64" s="29">
        <v>1.000579</v>
      </c>
      <c r="E64" s="29">
        <v>0.9999736</v>
      </c>
      <c r="F64" s="29">
        <v>1.136233</v>
      </c>
      <c r="G64" s="29">
        <v>1.000002</v>
      </c>
      <c r="H64" s="29">
        <v>1.598047</v>
      </c>
    </row>
    <row x14ac:dyDescent="0.25" r="65" customHeight="1" ht="20" customFormat="1" s="20">
      <c r="A65" s="28" t="s">
        <v>69</v>
      </c>
      <c r="B65" s="29">
        <v>1.211443</v>
      </c>
      <c r="C65" s="29">
        <v>1.265979</v>
      </c>
      <c r="D65" s="29">
        <v>1.000669</v>
      </c>
      <c r="E65" s="29">
        <v>0.9999698</v>
      </c>
      <c r="F65" s="29">
        <v>1.154947</v>
      </c>
      <c r="G65" s="29">
        <v>1.000002</v>
      </c>
      <c r="H65" s="29">
        <v>1.772432</v>
      </c>
    </row>
    <row x14ac:dyDescent="0.25" r="66" customHeight="1" ht="20" customFormat="1" s="20">
      <c r="A66" s="28" t="s">
        <v>70</v>
      </c>
      <c r="B66" s="29">
        <v>0.9428408</v>
      </c>
      <c r="C66" s="29">
        <v>0.8691239</v>
      </c>
      <c r="D66" s="29">
        <v>0.9979524</v>
      </c>
      <c r="E66" s="29">
        <v>1.000115</v>
      </c>
      <c r="F66" s="29">
        <v>0.8919045</v>
      </c>
      <c r="G66" s="29">
        <v>0.999987</v>
      </c>
      <c r="H66" s="29">
        <v>0.729445</v>
      </c>
    </row>
    <row x14ac:dyDescent="0.25" r="67" customHeight="1" ht="20" customFormat="1" s="20">
      <c r="A67" s="28" t="s">
        <v>71</v>
      </c>
      <c r="B67" s="29">
        <v>0.9644511</v>
      </c>
      <c r="C67" s="29">
        <v>0.8932349</v>
      </c>
      <c r="D67" s="29">
        <v>0.9929655</v>
      </c>
      <c r="E67" s="29">
        <v>1.000174</v>
      </c>
      <c r="F67" s="29">
        <v>0.878434</v>
      </c>
      <c r="G67" s="29">
        <v>0.9999686</v>
      </c>
      <c r="H67" s="29">
        <v>0.7515384</v>
      </c>
    </row>
    <row x14ac:dyDescent="0.25" r="68" customHeight="1" ht="20" customFormat="1" s="20">
      <c r="A68" s="28" t="s">
        <v>72</v>
      </c>
      <c r="B68" s="29">
        <v>1.072191</v>
      </c>
      <c r="C68" s="29">
        <v>1.007667</v>
      </c>
      <c r="D68" s="29">
        <v>1.00054</v>
      </c>
      <c r="E68" s="29">
        <v>0.9999881</v>
      </c>
      <c r="F68" s="29">
        <v>1.009099</v>
      </c>
      <c r="G68" s="29">
        <v>1.000002</v>
      </c>
      <c r="H68" s="29">
        <v>1.09082</v>
      </c>
    </row>
    <row x14ac:dyDescent="0.25" r="69" customHeight="1" ht="20" customFormat="1" s="20">
      <c r="A69" s="28" t="s">
        <v>73</v>
      </c>
      <c r="B69" s="29">
        <v>1.035796</v>
      </c>
      <c r="C69" s="29">
        <v>0.899633</v>
      </c>
      <c r="D69" s="29">
        <v>0.9933619</v>
      </c>
      <c r="E69" s="29">
        <v>1.000164</v>
      </c>
      <c r="F69" s="29">
        <v>0.885445</v>
      </c>
      <c r="G69" s="29">
        <v>0.9999705</v>
      </c>
      <c r="H69" s="29">
        <v>0.819723</v>
      </c>
    </row>
    <row x14ac:dyDescent="0.25" r="70" customHeight="1" ht="20" customFormat="1" s="20">
      <c r="A70" s="28"/>
      <c r="B70" s="30"/>
      <c r="C70" s="30"/>
      <c r="D70" s="30"/>
      <c r="E70" s="30"/>
      <c r="F70" s="30"/>
      <c r="G70" s="30"/>
      <c r="H70" s="30"/>
    </row>
    <row x14ac:dyDescent="0.25" r="71" customHeight="1" ht="20" customFormat="1" s="20">
      <c r="A71" s="28"/>
      <c r="B71" s="30"/>
      <c r="C71" s="30"/>
      <c r="D71" s="30"/>
      <c r="E71" s="30"/>
      <c r="F71" s="30"/>
      <c r="G71" s="30"/>
      <c r="H71" s="30"/>
    </row>
    <row x14ac:dyDescent="0.25" r="72" customHeight="1" ht="20" customFormat="1" s="20">
      <c r="A72" s="28" t="s">
        <v>75</v>
      </c>
      <c r="B72" s="30"/>
      <c r="C72" s="30"/>
      <c r="D72" s="30"/>
      <c r="E72" s="30"/>
      <c r="F72" s="30"/>
      <c r="G72" s="30"/>
      <c r="H72" s="30"/>
    </row>
    <row x14ac:dyDescent="0.25" r="73" customHeight="1" ht="20" customFormat="1" s="20">
      <c r="A73" s="28" t="s">
        <v>74</v>
      </c>
      <c r="B73" s="29">
        <v>1.052127</v>
      </c>
      <c r="C73" s="29">
        <v>1.010351</v>
      </c>
      <c r="D73" s="29">
        <v>1.0036</v>
      </c>
      <c r="E73" s="29">
        <v>0.9999708</v>
      </c>
      <c r="F73" s="29">
        <v>1.021893</v>
      </c>
      <c r="G73" s="29">
        <v>1.000005</v>
      </c>
      <c r="H73" s="29">
        <v>1.090174</v>
      </c>
    </row>
    <row x14ac:dyDescent="0.25" r="74" customHeight="1" ht="20" customFormat="1" s="20">
      <c r="A74" s="28" t="s">
        <v>76</v>
      </c>
      <c r="B74" s="29">
        <v>1.025998</v>
      </c>
      <c r="C74" s="29">
        <v>1.004593</v>
      </c>
      <c r="D74" s="29">
        <v>1.001102</v>
      </c>
      <c r="E74" s="29">
        <v>0.9999892</v>
      </c>
      <c r="F74" s="29">
        <v>1.008268</v>
      </c>
      <c r="G74" s="29">
        <v>1.000003</v>
      </c>
      <c r="H74" s="29">
        <v>1.04037</v>
      </c>
    </row>
    <row x14ac:dyDescent="0.25" r="75" customHeight="1" ht="20" customFormat="1" s="20">
      <c r="A75" s="28" t="s">
        <v>189</v>
      </c>
      <c r="B75" s="29">
        <v>1.052152</v>
      </c>
      <c r="C75" s="29">
        <v>1.008968</v>
      </c>
      <c r="D75" s="29">
        <v>1.00216</v>
      </c>
      <c r="E75" s="29">
        <v>0.9999805</v>
      </c>
      <c r="F75" s="29">
        <v>1.016242</v>
      </c>
      <c r="G75" s="29">
        <v>1.000005</v>
      </c>
      <c r="H75" s="29">
        <v>1.081146</v>
      </c>
    </row>
    <row x14ac:dyDescent="0.25" r="76" customHeight="1" ht="20" customFormat="1" s="20">
      <c r="A76" s="28" t="s">
        <v>77</v>
      </c>
      <c r="B76" s="29">
        <v>1.020363</v>
      </c>
      <c r="C76" s="29">
        <v>1.004395</v>
      </c>
      <c r="D76" s="29">
        <v>1.002632</v>
      </c>
      <c r="E76" s="29">
        <v>0.9999842</v>
      </c>
      <c r="F76" s="29">
        <v>1.011959</v>
      </c>
      <c r="G76" s="29">
        <v>1.00001</v>
      </c>
      <c r="H76" s="29">
        <v>1.039827</v>
      </c>
    </row>
    <row x14ac:dyDescent="0.25" r="77" customHeight="1" ht="20" customFormat="1" s="20">
      <c r="A77" s="28" t="s">
        <v>78</v>
      </c>
      <c r="B77" s="29">
        <v>1.040812</v>
      </c>
      <c r="C77" s="29">
        <v>1.008556</v>
      </c>
      <c r="D77" s="29">
        <v>1.005156</v>
      </c>
      <c r="E77" s="29">
        <v>1.000014</v>
      </c>
      <c r="F77" s="29">
        <v>1.023609</v>
      </c>
      <c r="G77" s="29">
        <v>1.000007</v>
      </c>
      <c r="H77" s="29">
        <v>1.080063</v>
      </c>
    </row>
    <row x14ac:dyDescent="0.25" r="78" customHeight="1" ht="20" customFormat="1" s="20">
      <c r="A78" s="28" t="s">
        <v>79</v>
      </c>
      <c r="B78" s="29">
        <v>1.04079</v>
      </c>
      <c r="C78" s="29">
        <v>1.010604</v>
      </c>
      <c r="D78" s="29">
        <v>1.006398</v>
      </c>
      <c r="E78" s="29">
        <v>0.9999872</v>
      </c>
      <c r="F78" s="29">
        <v>1.029301</v>
      </c>
      <c r="G78" s="29">
        <v>1.000018</v>
      </c>
      <c r="H78" s="29">
        <v>1.089578</v>
      </c>
    </row>
    <row x14ac:dyDescent="0.25" r="79" customHeight="1" ht="20" customFormat="1" s="20">
      <c r="A79" s="28" t="s">
        <v>80</v>
      </c>
      <c r="B79" s="29">
        <v>1.061425</v>
      </c>
      <c r="C79" s="29">
        <v>1.015072</v>
      </c>
      <c r="D79" s="29">
        <v>1.009138</v>
      </c>
      <c r="E79" s="29">
        <v>0.9999718</v>
      </c>
      <c r="F79" s="29">
        <v>1.041975</v>
      </c>
      <c r="G79" s="29">
        <v>1.000016</v>
      </c>
      <c r="H79" s="29">
        <v>1.132891</v>
      </c>
    </row>
    <row x14ac:dyDescent="0.25" r="80" customHeight="1" ht="20" customFormat="1" s="20">
      <c r="A80" s="28" t="s">
        <v>81</v>
      </c>
      <c r="B80" s="29">
        <v>1.082142</v>
      </c>
      <c r="C80" s="29">
        <v>1.019372</v>
      </c>
      <c r="D80" s="29">
        <v>1.0118</v>
      </c>
      <c r="E80" s="29">
        <v>0.9999589</v>
      </c>
      <c r="F80" s="29">
        <v>1.05433</v>
      </c>
      <c r="G80" s="29">
        <v>1.000025</v>
      </c>
      <c r="H80" s="29">
        <v>1.176742</v>
      </c>
    </row>
    <row x14ac:dyDescent="0.25" r="81" customHeight="1" ht="20" customFormat="1" s="20">
      <c r="A81" s="28" t="s">
        <v>82</v>
      </c>
      <c r="B81" s="29">
        <v>1.037913</v>
      </c>
      <c r="C81" s="29">
        <v>1.038886</v>
      </c>
      <c r="D81" s="29">
        <v>1.001089</v>
      </c>
      <c r="E81" s="29">
        <v>0.9999436</v>
      </c>
      <c r="F81" s="29">
        <v>1.036702</v>
      </c>
      <c r="G81" s="29">
        <v>1.000004</v>
      </c>
      <c r="H81" s="29">
        <v>1.119006</v>
      </c>
    </row>
    <row x14ac:dyDescent="0.25" r="82" customHeight="1" ht="20" customFormat="1" s="20">
      <c r="A82" s="28" t="s">
        <v>83</v>
      </c>
      <c r="B82" s="29">
        <v>1.076132</v>
      </c>
      <c r="C82" s="29">
        <v>1.075198</v>
      </c>
      <c r="D82" s="29">
        <v>1.002146</v>
      </c>
      <c r="E82" s="29">
        <v>0.9998905</v>
      </c>
      <c r="F82" s="29">
        <v>1.071511</v>
      </c>
      <c r="G82" s="29">
        <v>1.000008</v>
      </c>
      <c r="H82" s="29">
        <v>1.242332</v>
      </c>
    </row>
    <row x14ac:dyDescent="0.25" r="83" customHeight="1" ht="20" customFormat="1" s="20">
      <c r="A83" s="28" t="s">
        <v>84</v>
      </c>
      <c r="B83" s="29">
        <v>1.03779</v>
      </c>
      <c r="C83" s="29">
        <v>1.01732</v>
      </c>
      <c r="D83" s="29">
        <v>1.000479</v>
      </c>
      <c r="E83" s="29">
        <v>0.9999748</v>
      </c>
      <c r="F83" s="29">
        <v>1.01627</v>
      </c>
      <c r="G83" s="29">
        <v>1.000002</v>
      </c>
      <c r="H83" s="29">
        <v>1.073432</v>
      </c>
    </row>
    <row x14ac:dyDescent="0.25" r="84" customHeight="1" ht="20" customFormat="1" s="20">
      <c r="A84" s="28" t="s">
        <v>85</v>
      </c>
      <c r="B84" s="29">
        <v>1.076169</v>
      </c>
      <c r="C84" s="29">
        <v>1.057213</v>
      </c>
      <c r="D84" s="29">
        <v>1.001618</v>
      </c>
      <c r="E84" s="29">
        <v>0.9999171</v>
      </c>
      <c r="F84" s="29">
        <v>1.0542</v>
      </c>
      <c r="G84" s="29">
        <v>1.000006</v>
      </c>
      <c r="H84" s="29">
        <v>1.201254</v>
      </c>
    </row>
    <row x14ac:dyDescent="0.25" r="85" customHeight="1" ht="20" customFormat="1" s="20">
      <c r="A85" s="28" t="s">
        <v>86</v>
      </c>
      <c r="B85" s="29">
        <v>1.114846</v>
      </c>
      <c r="C85" s="29">
        <v>1.094483</v>
      </c>
      <c r="D85" s="29">
        <v>1.002723</v>
      </c>
      <c r="E85" s="29">
        <v>0.9998628</v>
      </c>
      <c r="F85" s="29">
        <v>1.090216</v>
      </c>
      <c r="G85" s="29">
        <v>1.00001</v>
      </c>
      <c r="H85" s="29">
        <v>1.333714</v>
      </c>
    </row>
    <row x14ac:dyDescent="0.25" r="86" customHeight="1" ht="20" customFormat="1" s="20">
      <c r="A86" s="28" t="s">
        <v>87</v>
      </c>
      <c r="B86" s="29">
        <v>1.075892</v>
      </c>
      <c r="C86" s="29">
        <v>1.033619</v>
      </c>
      <c r="D86" s="29">
        <v>1.000939</v>
      </c>
      <c r="E86" s="29">
        <v>0.9999514</v>
      </c>
      <c r="F86" s="29">
        <v>1.031701</v>
      </c>
      <c r="G86" s="29">
        <v>1.000004</v>
      </c>
      <c r="H86" s="29">
        <v>1.148341</v>
      </c>
    </row>
    <row x14ac:dyDescent="0.25" r="87" customHeight="1" ht="20" customFormat="1" s="20">
      <c r="A87" s="28" t="s">
        <v>88</v>
      </c>
      <c r="B87" s="29">
        <v>1.114729</v>
      </c>
      <c r="C87" s="29">
        <v>1.074491</v>
      </c>
      <c r="D87" s="29">
        <v>1.002125</v>
      </c>
      <c r="E87" s="29">
        <v>0.9998924</v>
      </c>
      <c r="F87" s="29">
        <v>1.070815</v>
      </c>
      <c r="G87" s="29">
        <v>1.000008</v>
      </c>
      <c r="H87" s="29">
        <v>1.285183</v>
      </c>
    </row>
    <row x14ac:dyDescent="0.25" r="88" customHeight="1" ht="20" customFormat="1" s="20">
      <c r="A88" s="28" t="s">
        <v>89</v>
      </c>
      <c r="B88" s="29">
        <v>1.153857</v>
      </c>
      <c r="C88" s="29">
        <v>1.112692</v>
      </c>
      <c r="D88" s="29">
        <v>1.003279</v>
      </c>
      <c r="E88" s="29">
        <v>0.9998369</v>
      </c>
      <c r="F88" s="29">
        <v>1.107996</v>
      </c>
      <c r="G88" s="29">
        <v>1.000012</v>
      </c>
      <c r="H88" s="29">
        <v>1.426992</v>
      </c>
    </row>
    <row x14ac:dyDescent="0.25" r="89" customHeight="1" ht="20" customFormat="1" s="20">
      <c r="A89" s="28" t="s">
        <v>90</v>
      </c>
      <c r="B89" s="29">
        <v>1.026909</v>
      </c>
      <c r="C89" s="29">
        <v>1.009154</v>
      </c>
      <c r="D89" s="29">
        <v>1.001181</v>
      </c>
      <c r="E89" s="29">
        <v>0.9999897</v>
      </c>
      <c r="F89" s="29">
        <v>1.013159</v>
      </c>
      <c r="G89" s="29">
        <v>1.000002</v>
      </c>
      <c r="H89" s="29">
        <v>1.051178</v>
      </c>
    </row>
    <row x14ac:dyDescent="0.25" r="90" customHeight="1" ht="20" customFormat="1" s="20">
      <c r="A90" s="28" t="s">
        <v>91</v>
      </c>
      <c r="B90" s="29">
        <v>1.053974</v>
      </c>
      <c r="C90" s="29">
        <v>1.017896</v>
      </c>
      <c r="D90" s="29">
        <v>1.002321</v>
      </c>
      <c r="E90" s="29">
        <v>0.9999744</v>
      </c>
      <c r="F90" s="29">
        <v>1.02582</v>
      </c>
      <c r="G90" s="29">
        <v>1.000005</v>
      </c>
      <c r="H90" s="29">
        <v>1.103068</v>
      </c>
    </row>
    <row x14ac:dyDescent="0.25" r="91" customHeight="1" ht="20" customFormat="1" s="20">
      <c r="A91" s="28" t="s">
        <v>92</v>
      </c>
      <c r="B91" s="29">
        <v>1.108981</v>
      </c>
      <c r="C91" s="29">
        <v>1.034327</v>
      </c>
      <c r="D91" s="29">
        <v>1.004498</v>
      </c>
      <c r="E91" s="29">
        <v>0.9999496</v>
      </c>
      <c r="F91" s="29">
        <v>1.049968</v>
      </c>
      <c r="G91" s="29">
        <v>1.00001</v>
      </c>
      <c r="H91" s="29">
        <v>1.209732</v>
      </c>
    </row>
    <row x14ac:dyDescent="0.25" r="92" customHeight="1" ht="20" customFormat="1" s="20">
      <c r="A92" s="28" t="s">
        <v>93</v>
      </c>
      <c r="B92" s="29">
        <v>1.136871</v>
      </c>
      <c r="C92" s="29">
        <v>1.051548</v>
      </c>
      <c r="D92" s="29">
        <v>1.006827</v>
      </c>
      <c r="E92" s="29">
        <v>0.9999229</v>
      </c>
      <c r="F92" s="29">
        <v>1.075796</v>
      </c>
      <c r="G92" s="29">
        <v>1.000015</v>
      </c>
      <c r="H92" s="29">
        <v>1.294787</v>
      </c>
    </row>
    <row x14ac:dyDescent="0.25" r="93" customHeight="1" ht="20" customFormat="1" s="20">
      <c r="A93" s="28" t="s">
        <v>94</v>
      </c>
      <c r="B93" s="29">
        <v>1.081399</v>
      </c>
      <c r="C93" s="29">
        <v>1.034654</v>
      </c>
      <c r="D93" s="29">
        <v>1.004541</v>
      </c>
      <c r="E93" s="29">
        <v>0.9999482</v>
      </c>
      <c r="F93" s="29">
        <v>1.050474</v>
      </c>
      <c r="G93" s="29">
        <v>1.00001</v>
      </c>
      <c r="H93" s="29">
        <v>1.180636</v>
      </c>
    </row>
    <row x14ac:dyDescent="0.25" r="94" customHeight="1" ht="20" customFormat="1" s="20">
      <c r="A94" s="28" t="s">
        <v>95</v>
      </c>
      <c r="B94" s="29">
        <v>1.054099</v>
      </c>
      <c r="C94" s="29">
        <v>1.02566</v>
      </c>
      <c r="D94" s="29">
        <v>1.003344</v>
      </c>
      <c r="E94" s="29">
        <v>0.9999637</v>
      </c>
      <c r="F94" s="29">
        <v>1.037187</v>
      </c>
      <c r="G94" s="29">
        <v>1.000008</v>
      </c>
      <c r="H94" s="29">
        <v>1.125069</v>
      </c>
    </row>
    <row x14ac:dyDescent="0.25" r="95" customHeight="1" ht="20" customFormat="1" s="20">
      <c r="A95" s="28" t="s">
        <v>96</v>
      </c>
      <c r="B95" s="29">
        <v>1.026953</v>
      </c>
      <c r="C95" s="29">
        <v>1.016249</v>
      </c>
      <c r="D95" s="29">
        <v>1.002105</v>
      </c>
      <c r="E95" s="29">
        <v>0.9999741</v>
      </c>
      <c r="F95" s="29">
        <v>1.023413</v>
      </c>
      <c r="G95" s="29">
        <v>1.000005</v>
      </c>
      <c r="H95" s="29">
        <v>1.070299</v>
      </c>
    </row>
    <row x14ac:dyDescent="0.25" r="96" customHeight="1" ht="20" customFormat="1" s="20">
      <c r="A96" s="28" t="s">
        <v>97</v>
      </c>
      <c r="B96" s="29">
        <v>1.054034</v>
      </c>
      <c r="C96" s="29">
        <v>1.031592</v>
      </c>
      <c r="D96" s="29">
        <v>1.004133</v>
      </c>
      <c r="E96" s="29">
        <v>0.9999536</v>
      </c>
      <c r="F96" s="29">
        <v>1.045926</v>
      </c>
      <c r="G96" s="29">
        <v>1.000009</v>
      </c>
      <c r="H96" s="29">
        <v>1.141928</v>
      </c>
    </row>
    <row x14ac:dyDescent="0.25" r="97" customHeight="1" ht="20" customFormat="1" s="20">
      <c r="A97" s="28" t="s">
        <v>98</v>
      </c>
      <c r="B97" s="29">
        <v>1.081415</v>
      </c>
      <c r="C97" s="29">
        <v>1.041269</v>
      </c>
      <c r="D97" s="29">
        <v>1.00543</v>
      </c>
      <c r="E97" s="29">
        <v>0.9999354</v>
      </c>
      <c r="F97" s="29">
        <v>1.060316</v>
      </c>
      <c r="G97" s="29">
        <v>1.000011</v>
      </c>
      <c r="H97" s="29">
        <v>1.200382</v>
      </c>
    </row>
    <row x14ac:dyDescent="0.25" r="98" customHeight="1" ht="20" customFormat="1" s="20">
      <c r="A98" s="28" t="s">
        <v>99</v>
      </c>
      <c r="B98" s="29">
        <v>1.108947</v>
      </c>
      <c r="C98" s="29">
        <v>1.050483</v>
      </c>
      <c r="D98" s="29">
        <v>1.006681</v>
      </c>
      <c r="E98" s="29">
        <v>0.9999195</v>
      </c>
      <c r="F98" s="29">
        <v>1.074207</v>
      </c>
      <c r="G98" s="29">
        <v>1.000014</v>
      </c>
      <c r="H98" s="29">
        <v>1.259651</v>
      </c>
    </row>
    <row x14ac:dyDescent="0.25" r="99" customHeight="1" ht="20" customFormat="1" s="20">
      <c r="A99" s="28" t="s">
        <v>100</v>
      </c>
      <c r="B99" s="29">
        <v>1.164878</v>
      </c>
      <c r="C99" s="29">
        <v>1.067833</v>
      </c>
      <c r="D99" s="29">
        <v>1.009075</v>
      </c>
      <c r="E99" s="29">
        <v>0.9998938</v>
      </c>
      <c r="F99" s="29">
        <v>1.100717</v>
      </c>
      <c r="G99" s="29">
        <v>1.00002</v>
      </c>
      <c r="H99" s="29">
        <v>1.381482</v>
      </c>
    </row>
    <row x14ac:dyDescent="0.25" r="100" customHeight="1" ht="20" customFormat="1" s="20">
      <c r="A100" s="28" t="s">
        <v>101</v>
      </c>
      <c r="B100" s="29">
        <v>1.027039</v>
      </c>
      <c r="C100" s="29">
        <v>1.041584</v>
      </c>
      <c r="D100" s="29">
        <v>1.001864</v>
      </c>
      <c r="E100" s="29">
        <v>0.9999405</v>
      </c>
      <c r="F100" s="29">
        <v>1.044012</v>
      </c>
      <c r="G100" s="29">
        <v>1.000005</v>
      </c>
      <c r="H100" s="29">
        <v>1.118851</v>
      </c>
    </row>
    <row x14ac:dyDescent="0.25" r="101" customHeight="1" ht="20" customFormat="1" s="20">
      <c r="A101" s="28" t="s">
        <v>102</v>
      </c>
      <c r="B101" s="29">
        <v>1.054204</v>
      </c>
      <c r="C101" s="29">
        <v>1.080635</v>
      </c>
      <c r="D101" s="29">
        <v>1.003691</v>
      </c>
      <c r="E101" s="29">
        <v>0.9998846</v>
      </c>
      <c r="F101" s="29">
        <v>1.08633</v>
      </c>
      <c r="G101" s="29">
        <v>1.000011</v>
      </c>
      <c r="H101" s="29">
        <v>1.241995</v>
      </c>
    </row>
    <row x14ac:dyDescent="0.25" r="102" customHeight="1" ht="20" customFormat="1" s="20">
      <c r="A102" s="28" t="s">
        <v>103</v>
      </c>
      <c r="B102" s="29">
        <v>1.109124</v>
      </c>
      <c r="C102" s="29">
        <v>1.095421</v>
      </c>
      <c r="D102" s="29">
        <v>1.004403</v>
      </c>
      <c r="E102" s="29">
        <v>0.9998646</v>
      </c>
      <c r="F102" s="29">
        <v>1.102602</v>
      </c>
      <c r="G102" s="29">
        <v>1.000013</v>
      </c>
      <c r="H102" s="29">
        <v>1.345347</v>
      </c>
    </row>
    <row x14ac:dyDescent="0.25" r="103" customHeight="1" ht="20" customFormat="1" s="20">
      <c r="A103" s="28" t="s">
        <v>104</v>
      </c>
      <c r="B103" s="29">
        <v>1.081492</v>
      </c>
      <c r="C103" s="29">
        <v>1.05553</v>
      </c>
      <c r="D103" s="29">
        <v>1.002508</v>
      </c>
      <c r="E103" s="29">
        <v>0.9999214</v>
      </c>
      <c r="F103" s="29">
        <v>1.05904</v>
      </c>
      <c r="G103" s="29">
        <v>1.000007</v>
      </c>
      <c r="H103" s="29">
        <v>1.21189</v>
      </c>
    </row>
    <row x14ac:dyDescent="0.25" r="104" customHeight="1" ht="20" customFormat="1" s="20">
      <c r="A104" s="28" t="s">
        <v>105</v>
      </c>
      <c r="B104" s="29">
        <v>1.053979</v>
      </c>
      <c r="C104" s="29">
        <v>1.013135</v>
      </c>
      <c r="D104" s="29">
        <v>1.000579</v>
      </c>
      <c r="E104" s="29">
        <v>0.9999794</v>
      </c>
      <c r="F104" s="29">
        <v>1.013771</v>
      </c>
      <c r="G104" s="29">
        <v>1.000002</v>
      </c>
      <c r="H104" s="29">
        <v>1.083134</v>
      </c>
    </row>
    <row x14ac:dyDescent="0.25" r="105" customHeight="1" ht="20" customFormat="1" s="20">
      <c r="A105" s="28" t="s">
        <v>106</v>
      </c>
      <c r="B105" s="29">
        <v>1.081376</v>
      </c>
      <c r="C105" s="29">
        <v>1.019318</v>
      </c>
      <c r="D105" s="29">
        <v>1.000855</v>
      </c>
      <c r="E105" s="29">
        <v>0.9999715</v>
      </c>
      <c r="F105" s="29">
        <v>1.020322</v>
      </c>
      <c r="G105" s="29">
        <v>1.000003</v>
      </c>
      <c r="H105" s="29">
        <v>1.125599</v>
      </c>
    </row>
    <row x14ac:dyDescent="0.25" r="106" customHeight="1" ht="20" customFormat="1" s="20">
      <c r="A106" s="28" t="s">
        <v>107</v>
      </c>
      <c r="B106" s="29">
        <v>1.109123</v>
      </c>
      <c r="C106" s="29">
        <v>1.062153</v>
      </c>
      <c r="D106" s="29">
        <v>1.002817</v>
      </c>
      <c r="E106" s="29">
        <v>0.9999105</v>
      </c>
      <c r="F106" s="29">
        <v>1.066192</v>
      </c>
      <c r="G106" s="29">
        <v>1.000008</v>
      </c>
      <c r="H106" s="29">
        <v>1.259472</v>
      </c>
    </row>
    <row x14ac:dyDescent="0.25" r="107" customHeight="1" ht="20" customFormat="1" s="20">
      <c r="A107" s="28" t="s">
        <v>108</v>
      </c>
      <c r="B107" s="29">
        <v>1.136987</v>
      </c>
      <c r="C107" s="29">
        <v>1.102395</v>
      </c>
      <c r="D107" s="29">
        <v>1.004742</v>
      </c>
      <c r="E107" s="29">
        <v>0.999856</v>
      </c>
      <c r="F107" s="29">
        <v>1.110357</v>
      </c>
      <c r="G107" s="29">
        <v>1.000014</v>
      </c>
      <c r="H107" s="29">
        <v>1.398149</v>
      </c>
    </row>
    <row x14ac:dyDescent="0.25" r="108" customHeight="1" ht="20" customFormat="1" s="20">
      <c r="A108" s="28" t="s">
        <v>109</v>
      </c>
      <c r="B108" s="29">
        <v>1.164966</v>
      </c>
      <c r="C108" s="29">
        <v>1.109137</v>
      </c>
      <c r="D108" s="29">
        <v>1.005072</v>
      </c>
      <c r="E108" s="29">
        <v>0.9998453</v>
      </c>
      <c r="F108" s="29">
        <v>1.117837</v>
      </c>
      <c r="G108" s="29">
        <v>1.000015</v>
      </c>
      <c r="H108" s="29">
        <v>1.451488</v>
      </c>
    </row>
    <row x14ac:dyDescent="0.25" r="109" customHeight="1" ht="20" customFormat="1" s="20">
      <c r="A109" s="28" t="s">
        <v>110</v>
      </c>
      <c r="B109" s="29">
        <v>1.136874</v>
      </c>
      <c r="C109" s="29">
        <v>1.068494</v>
      </c>
      <c r="D109" s="29">
        <v>1.003115</v>
      </c>
      <c r="E109" s="29">
        <v>0.999903</v>
      </c>
      <c r="F109" s="32">
        <v>1</v>
      </c>
      <c r="G109" s="29">
        <v>1.073077</v>
      </c>
      <c r="H109" s="29">
        <v>1.30746</v>
      </c>
    </row>
    <row x14ac:dyDescent="0.25" r="110" customHeight="1" ht="20" customFormat="1" s="20">
      <c r="A110" s="28" t="s">
        <v>111</v>
      </c>
      <c r="B110" s="29">
        <v>1.108895</v>
      </c>
      <c r="C110" s="29">
        <v>1.025268</v>
      </c>
      <c r="D110" s="29">
        <v>1.001123</v>
      </c>
      <c r="E110" s="29">
        <v>0.9999644</v>
      </c>
      <c r="F110" s="29">
        <v>1.026634</v>
      </c>
      <c r="G110" s="29">
        <v>1.000003</v>
      </c>
      <c r="H110" s="29">
        <v>1.168468</v>
      </c>
    </row>
    <row x14ac:dyDescent="0.25" r="111" customHeight="1" ht="20" customFormat="1" s="20">
      <c r="A111" s="28" t="s">
        <v>112</v>
      </c>
      <c r="B111" s="29">
        <v>1.164819</v>
      </c>
      <c r="C111" s="29">
        <v>1.03659</v>
      </c>
      <c r="D111" s="29">
        <v>1.001636</v>
      </c>
      <c r="E111" s="29">
        <v>0.9999471</v>
      </c>
      <c r="F111" s="29">
        <v>1.038675</v>
      </c>
      <c r="G111" s="29">
        <v>1.000005</v>
      </c>
      <c r="H111" s="29">
        <v>1.256128</v>
      </c>
    </row>
    <row x14ac:dyDescent="0.25" r="112" customHeight="1" ht="20" customFormat="1" s="20">
      <c r="A112" s="28" t="s">
        <v>113</v>
      </c>
      <c r="B112" s="29">
        <v>1.193256</v>
      </c>
      <c r="C112" s="29">
        <v>1.080549</v>
      </c>
      <c r="D112" s="29">
        <v>1.003687</v>
      </c>
      <c r="E112" s="29">
        <v>0.9998849</v>
      </c>
      <c r="F112" s="29">
        <v>1.086241</v>
      </c>
      <c r="G112" s="29">
        <v>1.000011</v>
      </c>
      <c r="H112" s="29">
        <v>1.405586</v>
      </c>
    </row>
    <row x14ac:dyDescent="0.25" r="113" customHeight="1" ht="20" customFormat="1" s="20">
      <c r="A113" s="28" t="s">
        <v>114</v>
      </c>
      <c r="B113" s="29">
        <v>1.221802</v>
      </c>
      <c r="C113" s="29">
        <v>1.121902</v>
      </c>
      <c r="D113" s="29">
        <v>1.005704</v>
      </c>
      <c r="E113" s="29">
        <v>0.9998293</v>
      </c>
      <c r="F113" s="29">
        <v>1.13213</v>
      </c>
      <c r="G113" s="29">
        <v>1.000017</v>
      </c>
      <c r="H113" s="29">
        <v>1.560469</v>
      </c>
    </row>
    <row x14ac:dyDescent="0.25" r="114" customHeight="1" ht="20" customFormat="1" s="20">
      <c r="A114" s="28" t="s">
        <v>115</v>
      </c>
      <c r="B114" s="29">
        <v>1.279532</v>
      </c>
      <c r="C114" s="29">
        <v>1.133814</v>
      </c>
      <c r="D114" s="29">
        <v>1.006301</v>
      </c>
      <c r="E114" s="29">
        <v>0.9998131</v>
      </c>
      <c r="F114" s="29">
        <v>1.145559</v>
      </c>
      <c r="G114" s="29">
        <v>1.000018</v>
      </c>
      <c r="H114" s="29">
        <v>1.67211</v>
      </c>
    </row>
    <row x14ac:dyDescent="0.25" r="115" customHeight="1" ht="20" customFormat="1" s="20">
      <c r="A115" s="28" t="s">
        <v>116</v>
      </c>
      <c r="B115" s="29">
        <v>1.250541</v>
      </c>
      <c r="C115" s="29">
        <v>1.091791</v>
      </c>
      <c r="D115" s="29">
        <v>1.004227</v>
      </c>
      <c r="E115" s="29">
        <v>0.9998694</v>
      </c>
      <c r="F115" s="29">
        <v>1.098597</v>
      </c>
      <c r="G115" s="29">
        <v>1.000012</v>
      </c>
      <c r="H115" s="29">
        <v>1.506109</v>
      </c>
    </row>
    <row x14ac:dyDescent="0.25" r="116" customHeight="1" ht="20" customFormat="1" s="20">
      <c r="A116" s="28" t="s">
        <v>117</v>
      </c>
      <c r="B116" s="29">
        <v>1.221651</v>
      </c>
      <c r="C116" s="29">
        <v>1.047127</v>
      </c>
      <c r="D116" s="29">
        <v>1.002119</v>
      </c>
      <c r="E116" s="29">
        <v>0.9999324</v>
      </c>
      <c r="F116" s="29">
        <v>1.049967</v>
      </c>
      <c r="G116" s="29">
        <v>1.000006</v>
      </c>
      <c r="H116" s="29">
        <v>1.345905</v>
      </c>
    </row>
    <row x14ac:dyDescent="0.25" r="117" customHeight="1" ht="20" customFormat="1" s="20">
      <c r="A117" s="28" t="s">
        <v>118</v>
      </c>
      <c r="B117" s="29">
        <v>1.020912</v>
      </c>
      <c r="C117" s="29">
        <v>1.010391</v>
      </c>
      <c r="D117" s="29">
        <v>1.001982</v>
      </c>
      <c r="E117" s="29">
        <v>0.9999896</v>
      </c>
      <c r="F117" s="29">
        <v>1.017116</v>
      </c>
      <c r="G117" s="29">
        <v>1.000003</v>
      </c>
      <c r="H117" s="29">
        <v>1.051247</v>
      </c>
    </row>
    <row x14ac:dyDescent="0.25" r="118" customHeight="1" ht="20" customFormat="1" s="20">
      <c r="A118" s="28" t="s">
        <v>119</v>
      </c>
      <c r="B118" s="29">
        <v>1.041904</v>
      </c>
      <c r="C118" s="29">
        <v>1.020312</v>
      </c>
      <c r="D118" s="29">
        <v>1.003899</v>
      </c>
      <c r="E118" s="29">
        <v>0.9999707</v>
      </c>
      <c r="F118" s="29">
        <v>1.033718</v>
      </c>
      <c r="G118" s="29">
        <v>1.000006</v>
      </c>
      <c r="H118" s="29">
        <v>1.103171</v>
      </c>
    </row>
    <row x14ac:dyDescent="0.25" r="119" customHeight="1" ht="20" customFormat="1" s="20">
      <c r="A119" s="28" t="s">
        <v>120</v>
      </c>
      <c r="B119" s="29">
        <v>1.084451</v>
      </c>
      <c r="C119" s="29">
        <v>1.039036</v>
      </c>
      <c r="D119" s="29">
        <v>1.007593</v>
      </c>
      <c r="E119" s="29">
        <v>0.9999505</v>
      </c>
      <c r="F119" s="29">
        <v>1.065747</v>
      </c>
      <c r="G119" s="29">
        <v>1.00001</v>
      </c>
      <c r="H119" s="29">
        <v>1.209936</v>
      </c>
    </row>
    <row x14ac:dyDescent="0.25" r="120" customHeight="1" ht="20" customFormat="1" s="20">
      <c r="A120" s="28" t="s">
        <v>121</v>
      </c>
      <c r="B120" s="29">
        <v>1.127491</v>
      </c>
      <c r="C120" s="29">
        <v>1.053031</v>
      </c>
      <c r="D120" s="29">
        <v>1.010417</v>
      </c>
      <c r="E120" s="29">
        <v>0.9999403</v>
      </c>
      <c r="F120" s="29">
        <v>1.090299</v>
      </c>
      <c r="G120" s="29">
        <v>1.000016</v>
      </c>
      <c r="H120" s="29">
        <v>1.307922</v>
      </c>
    </row>
    <row x14ac:dyDescent="0.25" r="121" customHeight="1" ht="20" customFormat="1" s="20">
      <c r="A121" s="28" t="s">
        <v>122</v>
      </c>
      <c r="B121" s="29">
        <v>1.084382</v>
      </c>
      <c r="C121" s="29">
        <v>1.033864</v>
      </c>
      <c r="D121" s="29">
        <v>1.006564</v>
      </c>
      <c r="E121" s="29">
        <v>0.9999603</v>
      </c>
      <c r="F121" s="29">
        <v>1.056822</v>
      </c>
      <c r="G121" s="29">
        <v>1.000009</v>
      </c>
      <c r="H121" s="29">
        <v>1.192547</v>
      </c>
    </row>
    <row x14ac:dyDescent="0.25" r="122" customHeight="1" ht="20" customFormat="1" s="20">
      <c r="A122" s="28" t="s">
        <v>123</v>
      </c>
      <c r="B122" s="29">
        <v>1.063106</v>
      </c>
      <c r="C122" s="29">
        <v>1.02369</v>
      </c>
      <c r="D122" s="29">
        <v>1.004559</v>
      </c>
      <c r="E122" s="29">
        <v>0.999968</v>
      </c>
      <c r="F122" s="29">
        <v>1.039455</v>
      </c>
      <c r="G122" s="29">
        <v>1.000006</v>
      </c>
      <c r="H122" s="29">
        <v>1.136357</v>
      </c>
    </row>
    <row x14ac:dyDescent="0.25" r="123" customHeight="1" ht="20" customFormat="1" s="20">
      <c r="A123" s="28" t="s">
        <v>124</v>
      </c>
      <c r="B123" s="29">
        <v>1.041908</v>
      </c>
      <c r="C123" s="29">
        <v>1.013069</v>
      </c>
      <c r="D123" s="29">
        <v>1.002498</v>
      </c>
      <c r="E123" s="29">
        <v>0.9999896</v>
      </c>
      <c r="F123" s="29">
        <v>1.021585</v>
      </c>
      <c r="G123" s="29">
        <v>1.000003</v>
      </c>
      <c r="H123" s="29">
        <v>1.080994</v>
      </c>
    </row>
    <row x14ac:dyDescent="0.25" r="124" customHeight="1" ht="20" customFormat="1" s="20">
      <c r="A124" s="28" t="s">
        <v>125</v>
      </c>
      <c r="B124" s="29">
        <v>1.063119</v>
      </c>
      <c r="C124" s="29">
        <v>1.019264</v>
      </c>
      <c r="D124" s="29">
        <v>1.003696</v>
      </c>
      <c r="E124" s="29">
        <v>0.999975</v>
      </c>
      <c r="F124" s="29">
        <v>1.031967</v>
      </c>
      <c r="G124" s="29">
        <v>1.000005</v>
      </c>
      <c r="H124" s="29">
        <v>1.12235</v>
      </c>
    </row>
    <row x14ac:dyDescent="0.25" r="125" customHeight="1" ht="20" customFormat="1" s="20">
      <c r="A125" s="28" t="s">
        <v>126</v>
      </c>
      <c r="B125" s="29">
        <v>1.084459</v>
      </c>
      <c r="C125" s="29">
        <v>0.9998947</v>
      </c>
      <c r="D125" s="29">
        <v>1.030018</v>
      </c>
      <c r="E125" s="29">
        <v>1.005803</v>
      </c>
      <c r="F125" s="32">
        <v>1</v>
      </c>
      <c r="G125" s="29">
        <v>1.050226</v>
      </c>
      <c r="H125" s="29">
        <v>1.179891</v>
      </c>
    </row>
    <row x14ac:dyDescent="0.25" r="126" customHeight="1" ht="20" customFormat="1" s="20">
      <c r="A126" s="28" t="s">
        <v>127</v>
      </c>
      <c r="B126" s="29">
        <v>1.105875</v>
      </c>
      <c r="C126" s="29">
        <v>1.040296</v>
      </c>
      <c r="D126" s="29">
        <v>1.007844</v>
      </c>
      <c r="E126" s="29">
        <v>0.9999452</v>
      </c>
      <c r="F126" s="29">
        <v>1.067937</v>
      </c>
      <c r="G126" s="29">
        <v>1.000011</v>
      </c>
      <c r="H126" s="29">
        <v>1.238177</v>
      </c>
    </row>
    <row x14ac:dyDescent="0.25" r="127" customHeight="1" ht="20" customFormat="1" s="20">
      <c r="A127" s="28" t="s">
        <v>128</v>
      </c>
      <c r="B127" s="29">
        <v>1.149264</v>
      </c>
      <c r="C127" s="29">
        <v>1.059694</v>
      </c>
      <c r="D127" s="29">
        <v>1.011778</v>
      </c>
      <c r="E127" s="29">
        <v>0.9999248</v>
      </c>
      <c r="F127" s="29">
        <v>1.102133</v>
      </c>
      <c r="G127" s="29">
        <v>1.000019</v>
      </c>
      <c r="H127" s="29">
        <v>1.357986</v>
      </c>
    </row>
    <row x14ac:dyDescent="0.25" r="128" customHeight="1" ht="20" customFormat="1" s="20">
      <c r="A128" s="28" t="s">
        <v>129</v>
      </c>
      <c r="B128" s="29">
        <v>1.171087</v>
      </c>
      <c r="C128" s="29">
        <v>1.066105</v>
      </c>
      <c r="D128" s="29">
        <v>1.013102</v>
      </c>
      <c r="E128" s="29">
        <v>0.9999231</v>
      </c>
      <c r="F128" s="29">
        <v>1.113642</v>
      </c>
      <c r="G128" s="29">
        <v>1.000021</v>
      </c>
      <c r="H128" s="29">
        <v>1.408522</v>
      </c>
    </row>
    <row x14ac:dyDescent="0.25" r="129" customHeight="1" ht="20" customFormat="1" s="20">
      <c r="A129" s="28" t="s">
        <v>130</v>
      </c>
      <c r="B129" s="29">
        <v>1.127422</v>
      </c>
      <c r="C129" s="29">
        <v>1.046479</v>
      </c>
      <c r="D129" s="29">
        <v>1.009088</v>
      </c>
      <c r="E129" s="29">
        <v>0.9999433</v>
      </c>
      <c r="F129" s="29">
        <v>1.078739</v>
      </c>
      <c r="G129" s="29">
        <v>1.000013</v>
      </c>
      <c r="H129" s="29">
        <v>1.284231</v>
      </c>
    </row>
    <row x14ac:dyDescent="0.25" r="130" customHeight="1" ht="20" customFormat="1" s="20">
      <c r="A130" s="28" t="s">
        <v>131</v>
      </c>
      <c r="B130" s="29">
        <v>1.105866</v>
      </c>
      <c r="C130" s="29">
        <v>1.036099</v>
      </c>
      <c r="D130" s="29">
        <v>1.007007</v>
      </c>
      <c r="E130" s="29">
        <v>0.9999509</v>
      </c>
      <c r="F130" s="29">
        <v>1.060671</v>
      </c>
      <c r="G130" s="29">
        <v>1.000011</v>
      </c>
      <c r="H130" s="29">
        <v>1.223771</v>
      </c>
    </row>
    <row x14ac:dyDescent="0.25" r="131" customHeight="1" ht="20" customFormat="1" s="20">
      <c r="A131" s="28" t="s">
        <v>132</v>
      </c>
      <c r="B131" s="29">
        <v>1.084386</v>
      </c>
      <c r="C131" s="29">
        <v>1.025214</v>
      </c>
      <c r="D131" s="29">
        <v>1.004859</v>
      </c>
      <c r="E131" s="29">
        <v>0.9999731</v>
      </c>
      <c r="F131" s="29">
        <v>1.04205</v>
      </c>
      <c r="G131" s="29">
        <v>1.000007</v>
      </c>
      <c r="H131" s="29">
        <v>1.164083</v>
      </c>
    </row>
    <row x14ac:dyDescent="0.25" r="132" customHeight="1" ht="20" customFormat="1" s="20">
      <c r="A132" s="28" t="s">
        <v>133</v>
      </c>
      <c r="B132" s="29">
        <v>1.127491</v>
      </c>
      <c r="C132" s="29">
        <v>1.036549</v>
      </c>
      <c r="D132" s="29">
        <v>1.007099</v>
      </c>
      <c r="E132" s="29">
        <v>0.9999608</v>
      </c>
      <c r="F132" s="29">
        <v>1.061478</v>
      </c>
      <c r="G132" s="29">
        <v>1.000011</v>
      </c>
      <c r="H132" s="29">
        <v>1.249321</v>
      </c>
    </row>
    <row x14ac:dyDescent="0.25" r="133" customHeight="1" ht="20" customFormat="1" s="20">
      <c r="A133" s="28" t="s">
        <v>134</v>
      </c>
      <c r="B133" s="29">
        <v>1.14925</v>
      </c>
      <c r="C133" s="29">
        <v>1.047664</v>
      </c>
      <c r="D133" s="29">
        <v>1.009327</v>
      </c>
      <c r="E133" s="29">
        <v>0.9999383</v>
      </c>
      <c r="F133" s="29">
        <v>1.080806</v>
      </c>
      <c r="G133" s="29">
        <v>1.000014</v>
      </c>
      <c r="H133" s="29">
        <v>1.313397</v>
      </c>
    </row>
    <row x14ac:dyDescent="0.25" r="134" customHeight="1" ht="20" customFormat="1" s="20">
      <c r="A134" s="28" t="s">
        <v>135</v>
      </c>
      <c r="B134" s="29">
        <v>1.171082</v>
      </c>
      <c r="C134" s="29">
        <v>1.058272</v>
      </c>
      <c r="D134" s="29">
        <v>1.011487</v>
      </c>
      <c r="E134" s="29">
        <v>0.9999308</v>
      </c>
      <c r="F134" s="29">
        <v>1.099573</v>
      </c>
      <c r="G134" s="29">
        <v>1.000017</v>
      </c>
      <c r="H134" s="29">
        <v>1.378308</v>
      </c>
    </row>
    <row x14ac:dyDescent="0.25" r="135" customHeight="1" ht="20" customFormat="1" s="20">
      <c r="A135" s="28" t="s">
        <v>136</v>
      </c>
      <c r="B135" s="29">
        <v>1.215297</v>
      </c>
      <c r="C135" s="29">
        <v>1.078332</v>
      </c>
      <c r="D135" s="29">
        <v>1.015655</v>
      </c>
      <c r="E135" s="29">
        <v>0.9998974</v>
      </c>
      <c r="F135" s="29">
        <v>1.135861</v>
      </c>
      <c r="G135" s="29">
        <v>1.000025</v>
      </c>
      <c r="H135" s="29">
        <v>1.511723</v>
      </c>
    </row>
    <row x14ac:dyDescent="0.25" r="136" customHeight="1" ht="20" customFormat="1" s="20">
      <c r="A136" s="28" t="s">
        <v>137</v>
      </c>
      <c r="B136" s="29">
        <v>1.26005</v>
      </c>
      <c r="C136" s="29">
        <v>1.089737</v>
      </c>
      <c r="D136" s="29">
        <v>1.018077</v>
      </c>
      <c r="E136" s="29">
        <v>0.999889</v>
      </c>
      <c r="F136" s="29">
        <v>1.157036</v>
      </c>
      <c r="G136" s="29">
        <v>1.000028</v>
      </c>
      <c r="H136" s="29">
        <v>1.617339</v>
      </c>
    </row>
    <row x14ac:dyDescent="0.25" r="137" customHeight="1" ht="20" customFormat="1" s="20">
      <c r="A137" s="28" t="s">
        <v>138</v>
      </c>
      <c r="B137" s="29">
        <v>1.215292</v>
      </c>
      <c r="C137" s="29">
        <v>1.06931</v>
      </c>
      <c r="D137" s="29">
        <v>1.013766</v>
      </c>
      <c r="E137" s="29">
        <v>0.9999096</v>
      </c>
      <c r="F137" s="29">
        <v>1.119404</v>
      </c>
      <c r="G137" s="29">
        <v>1.00002</v>
      </c>
      <c r="H137" s="29">
        <v>1.474615</v>
      </c>
    </row>
    <row x14ac:dyDescent="0.25" r="138" customHeight="1" ht="20" customFormat="1" s="20">
      <c r="A138" s="28" t="s">
        <v>139</v>
      </c>
      <c r="B138" s="29">
        <v>1.193187</v>
      </c>
      <c r="C138" s="29">
        <v>1.058467</v>
      </c>
      <c r="D138" s="29">
        <v>1.011527</v>
      </c>
      <c r="E138" s="29">
        <v>0.9999299</v>
      </c>
      <c r="F138" s="29">
        <v>1.099938</v>
      </c>
      <c r="G138" s="29">
        <v>1.000017</v>
      </c>
      <c r="H138" s="29">
        <v>1.405105</v>
      </c>
    </row>
    <row x14ac:dyDescent="0.25" r="139" customHeight="1" ht="20" customFormat="1" s="20">
      <c r="A139" s="28" t="s">
        <v>140</v>
      </c>
      <c r="B139" s="29">
        <v>1.171153</v>
      </c>
      <c r="C139" s="29">
        <v>1.047168</v>
      </c>
      <c r="D139" s="29">
        <v>1.009227</v>
      </c>
      <c r="E139" s="29">
        <v>0.9999404</v>
      </c>
      <c r="F139" s="29">
        <v>1.079947</v>
      </c>
      <c r="G139" s="29">
        <v>1.000014</v>
      </c>
      <c r="H139" s="29">
        <v>1.3366</v>
      </c>
    </row>
    <row x14ac:dyDescent="0.25" r="140" customHeight="1" ht="17.25">
      <c r="A140" s="38"/>
      <c r="B140" s="17"/>
      <c r="C140" s="17"/>
      <c r="D140" s="17"/>
      <c r="E140" s="17"/>
      <c r="F140" s="17"/>
      <c r="G140" s="17"/>
      <c r="H140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35"/>
  <sheetViews>
    <sheetView workbookViewId="0"/>
  </sheetViews>
  <sheetFormatPr defaultRowHeight="15" x14ac:dyDescent="0.25"/>
  <cols>
    <col min="1" max="1" style="33" width="12.576428571428572" customWidth="1" bestFit="1"/>
    <col min="2" max="2" style="34" width="12.576428571428572" customWidth="1" bestFit="1"/>
    <col min="3" max="3" style="34" width="12.576428571428572" customWidth="1" bestFit="1"/>
    <col min="4" max="4" style="34" width="12.576428571428572" customWidth="1" bestFit="1"/>
    <col min="5" max="5" style="34" width="12.576428571428572" customWidth="1" bestFit="1"/>
    <col min="6" max="6" style="34" width="12.576428571428572" customWidth="1" bestFit="1"/>
    <col min="7" max="7" style="34" width="12.576428571428572" customWidth="1" bestFit="1"/>
    <col min="8" max="8" style="34" width="12.576428571428572" customWidth="1" bestFit="1"/>
    <col min="9" max="9" style="34" width="12.576428571428572" customWidth="1" bestFit="1"/>
    <col min="10" max="10" style="35" width="13.005" customWidth="1" bestFit="1"/>
    <col min="11" max="11" style="35" width="13.005" customWidth="1" bestFit="1"/>
    <col min="12" max="12" style="35" width="13.005" customWidth="1" bestFit="1"/>
  </cols>
  <sheetData>
    <row x14ac:dyDescent="0.25" r="1" customHeight="1" ht="17.25">
      <c r="A1" s="16" t="s">
        <v>144</v>
      </c>
      <c r="B1" s="17"/>
      <c r="C1" s="17"/>
      <c r="D1" s="17"/>
      <c r="E1" s="17"/>
      <c r="F1" s="17"/>
      <c r="G1" s="17"/>
      <c r="H1" s="17"/>
      <c r="I1" s="17"/>
      <c r="J1" s="18"/>
      <c r="K1" s="19"/>
      <c r="L1" s="18"/>
    </row>
    <row x14ac:dyDescent="0.25" r="2" customHeight="1" ht="51" customFormat="1" s="20">
      <c r="A2" s="21" t="s">
        <v>0</v>
      </c>
      <c r="B2" s="22" t="s">
        <v>145</v>
      </c>
      <c r="C2" s="23"/>
      <c r="D2" s="22" t="s">
        <v>146</v>
      </c>
      <c r="E2" s="22" t="s">
        <v>147</v>
      </c>
      <c r="F2" s="22" t="s">
        <v>148</v>
      </c>
      <c r="G2" s="22" t="s">
        <v>149</v>
      </c>
      <c r="H2" s="22" t="s">
        <v>150</v>
      </c>
      <c r="I2" s="22" t="s">
        <v>151</v>
      </c>
      <c r="J2" s="18"/>
      <c r="K2" s="18"/>
      <c r="L2" s="18"/>
    </row>
    <row x14ac:dyDescent="0.25" r="3" customHeight="1" ht="17.25" customFormat="1" s="20">
      <c r="A3" s="24"/>
      <c r="B3" s="25"/>
      <c r="C3" s="26"/>
      <c r="D3" s="27"/>
      <c r="E3" s="27"/>
      <c r="F3" s="27"/>
      <c r="G3" s="27"/>
      <c r="H3" s="27"/>
      <c r="I3" s="27"/>
      <c r="J3" s="18"/>
      <c r="K3" s="18"/>
      <c r="L3" s="18"/>
    </row>
    <row x14ac:dyDescent="0.25" r="4" customHeight="1" ht="17.25" customFormat="1" s="20">
      <c r="A4" s="28" t="s">
        <v>152</v>
      </c>
      <c r="B4" s="29">
        <v>1.008</v>
      </c>
      <c r="C4" s="29">
        <v>1.008</v>
      </c>
      <c r="D4" s="29">
        <v>0.74144</v>
      </c>
      <c r="E4" s="29">
        <v>60.853</v>
      </c>
      <c r="F4" s="29">
        <v>3.062</v>
      </c>
      <c r="G4" s="29">
        <f>4.71*0.1</f>
      </c>
      <c r="H4" s="29">
        <v>4401.21</v>
      </c>
      <c r="I4" s="29">
        <v>121.336</v>
      </c>
      <c r="J4" s="18"/>
      <c r="K4" s="18"/>
      <c r="L4" s="18"/>
    </row>
    <row x14ac:dyDescent="0.25" r="5" customHeight="1" ht="17.25" customFormat="1" s="20">
      <c r="A5" s="28" t="s">
        <v>153</v>
      </c>
      <c r="B5" s="29">
        <v>2.014</v>
      </c>
      <c r="C5" s="29">
        <v>2.014</v>
      </c>
      <c r="D5" s="29">
        <v>0.74152</v>
      </c>
      <c r="E5" s="29">
        <v>30.443</v>
      </c>
      <c r="F5" s="29">
        <v>1.0786</v>
      </c>
      <c r="G5" s="29">
        <f>1.42*0.1</f>
      </c>
      <c r="H5" s="29">
        <v>3115.5</v>
      </c>
      <c r="I5" s="29">
        <v>61.82</v>
      </c>
      <c r="J5" s="18"/>
      <c r="K5" s="18"/>
      <c r="L5" s="18"/>
    </row>
    <row x14ac:dyDescent="0.25" r="6" customHeight="1" ht="17.25" customFormat="1" s="20">
      <c r="A6" s="28" t="s">
        <v>154</v>
      </c>
      <c r="B6" s="29">
        <v>1.008</v>
      </c>
      <c r="C6" s="29">
        <v>3.016</v>
      </c>
      <c r="D6" s="29">
        <v>0.74142</v>
      </c>
      <c r="E6" s="29">
        <v>40.595</v>
      </c>
      <c r="F6" s="29">
        <v>1.664</v>
      </c>
      <c r="G6" s="29" t="s">
        <v>155</v>
      </c>
      <c r="H6" s="29">
        <v>3597.05</v>
      </c>
      <c r="I6" s="29">
        <v>81.67</v>
      </c>
      <c r="J6" s="18"/>
      <c r="K6" s="18"/>
      <c r="L6" s="18"/>
    </row>
    <row x14ac:dyDescent="0.25" r="7" customHeight="1" ht="17.25" customFormat="1" s="20">
      <c r="A7" s="28" t="s">
        <v>156</v>
      </c>
      <c r="B7" s="29">
        <v>3.016</v>
      </c>
      <c r="C7" s="29">
        <v>3.016</v>
      </c>
      <c r="D7" s="29">
        <v>0.74142</v>
      </c>
      <c r="E7" s="29">
        <v>20.335</v>
      </c>
      <c r="F7" s="29">
        <v>0.5887</v>
      </c>
      <c r="G7" s="29" t="s">
        <v>155</v>
      </c>
      <c r="H7" s="29">
        <v>2546.47</v>
      </c>
      <c r="I7" s="29">
        <v>41.23</v>
      </c>
      <c r="J7" s="18"/>
      <c r="K7" s="18"/>
      <c r="L7" s="18"/>
    </row>
    <row x14ac:dyDescent="0.25" r="8" customHeight="1" ht="17.25" customFormat="1" s="20">
      <c r="A8" s="28" t="s">
        <v>157</v>
      </c>
      <c r="B8" s="29">
        <v>1.008</v>
      </c>
      <c r="C8" s="29">
        <v>2.014</v>
      </c>
      <c r="D8" s="29">
        <v>0.74142</v>
      </c>
      <c r="E8" s="29">
        <v>45.655</v>
      </c>
      <c r="F8" s="29">
        <v>1.986</v>
      </c>
      <c r="G8" s="29">
        <f>2.6*0.1</f>
      </c>
      <c r="H8" s="29">
        <v>3813.15</v>
      </c>
      <c r="I8" s="29">
        <v>91.65</v>
      </c>
      <c r="J8" s="18"/>
      <c r="K8" s="18"/>
      <c r="L8" s="18"/>
    </row>
    <row x14ac:dyDescent="0.25" r="9" customHeight="1" ht="17.25" customFormat="1" s="20">
      <c r="A9" s="28" t="s">
        <v>158</v>
      </c>
      <c r="B9" s="29">
        <v>2.014</v>
      </c>
      <c r="C9" s="29">
        <v>3.016</v>
      </c>
      <c r="D9" s="29">
        <v>0.74142</v>
      </c>
      <c r="E9" s="29">
        <v>25.395</v>
      </c>
      <c r="F9" s="29">
        <v>0.8221</v>
      </c>
      <c r="G9" s="29">
        <f>0.809*0.1</f>
      </c>
      <c r="H9" s="29">
        <v>2845.52</v>
      </c>
      <c r="I9" s="29">
        <v>51.38</v>
      </c>
      <c r="J9" s="18"/>
      <c r="K9" s="18"/>
      <c r="L9" s="18"/>
    </row>
    <row x14ac:dyDescent="0.25" r="10" customHeight="1" ht="17.25" customFormat="1" s="20">
      <c r="A10" s="28" t="s">
        <v>159</v>
      </c>
      <c r="B10" s="29">
        <v>1.008</v>
      </c>
      <c r="C10" s="29">
        <v>18.998</v>
      </c>
      <c r="D10" s="29">
        <v>0.916808</v>
      </c>
      <c r="E10" s="29">
        <v>20.9557</v>
      </c>
      <c r="F10" s="29">
        <v>0.798</v>
      </c>
      <c r="G10" s="29">
        <f>21.51*0.001</f>
      </c>
      <c r="H10" s="29">
        <v>4138.32</v>
      </c>
      <c r="I10" s="29">
        <v>89.88</v>
      </c>
      <c r="J10" s="18"/>
      <c r="K10" s="18"/>
      <c r="L10" s="18"/>
    </row>
    <row x14ac:dyDescent="0.25" r="11" customHeight="1" ht="17.25" customFormat="1" s="20">
      <c r="A11" s="28" t="s">
        <v>160</v>
      </c>
      <c r="B11" s="29">
        <v>2.014</v>
      </c>
      <c r="C11" s="29">
        <v>18.998</v>
      </c>
      <c r="D11" s="29">
        <v>0.91694</v>
      </c>
      <c r="E11" s="29">
        <v>11.0102</v>
      </c>
      <c r="F11" s="29">
        <v>0.3017</v>
      </c>
      <c r="G11" s="29">
        <f>5.94*0.001</f>
      </c>
      <c r="H11" s="29">
        <v>2998.19</v>
      </c>
      <c r="I11" s="29">
        <v>45.761</v>
      </c>
      <c r="J11" s="18"/>
      <c r="K11" s="18"/>
      <c r="L11" s="18"/>
    </row>
    <row x14ac:dyDescent="0.25" r="12" customHeight="1" ht="17.25" customFormat="1" s="20">
      <c r="A12" s="28" t="s">
        <v>161</v>
      </c>
      <c r="B12" s="29">
        <v>3.016</v>
      </c>
      <c r="C12" s="29">
        <v>18.998</v>
      </c>
      <c r="D12" s="29">
        <v>0.9176</v>
      </c>
      <c r="E12" s="29">
        <v>7.692</v>
      </c>
      <c r="F12" s="29">
        <v>0.176</v>
      </c>
      <c r="G12" s="29">
        <f>22.05*0.001</f>
      </c>
      <c r="H12" s="29">
        <v>2508.54</v>
      </c>
      <c r="I12" s="29">
        <v>32.54</v>
      </c>
      <c r="J12" s="18"/>
      <c r="K12" s="18"/>
      <c r="L12" s="18"/>
    </row>
    <row x14ac:dyDescent="0.25" r="13" customHeight="1" ht="17.25" customFormat="1" s="20">
      <c r="A13" s="28" t="s">
        <v>162</v>
      </c>
      <c r="B13" s="29">
        <v>1.008</v>
      </c>
      <c r="C13" s="29">
        <v>34.969</v>
      </c>
      <c r="D13" s="29">
        <v>1.274552</v>
      </c>
      <c r="E13" s="29">
        <v>10.59</v>
      </c>
      <c r="F13" s="29">
        <v>0.307181</v>
      </c>
      <c r="G13" s="29">
        <f>5.3194*0.001</f>
      </c>
      <c r="H13" s="29">
        <v>2990.95</v>
      </c>
      <c r="I13" s="29">
        <v>52.8186</v>
      </c>
      <c r="J13" s="18"/>
      <c r="K13" s="18"/>
      <c r="L13" s="30">
        <f>1.39 * 0.001</f>
      </c>
    </row>
    <row x14ac:dyDescent="0.25" r="14" customHeight="1" ht="17.25" customFormat="1" s="20">
      <c r="A14" s="28" t="s">
        <v>163</v>
      </c>
      <c r="B14" s="29">
        <v>2.014</v>
      </c>
      <c r="C14" s="29">
        <v>34.969</v>
      </c>
      <c r="D14" s="29">
        <v>1.27458</v>
      </c>
      <c r="E14" s="29">
        <v>5.448</v>
      </c>
      <c r="F14" s="29">
        <v>0.1132</v>
      </c>
      <c r="G14" s="29">
        <v>0.00139</v>
      </c>
      <c r="H14" s="29">
        <v>2145.16</v>
      </c>
      <c r="I14" s="29">
        <v>27.18</v>
      </c>
      <c r="J14" s="18"/>
      <c r="K14" s="18"/>
      <c r="L14" s="18"/>
    </row>
    <row x14ac:dyDescent="0.25" r="15" customHeight="1" ht="17.25" customFormat="1" s="20">
      <c r="A15" s="28" t="s">
        <v>164</v>
      </c>
      <c r="B15" s="29">
        <v>3.016</v>
      </c>
      <c r="C15" s="29">
        <v>34.969</v>
      </c>
      <c r="D15" s="29">
        <v>1.27455</v>
      </c>
      <c r="E15" s="29">
        <v>10.5934</v>
      </c>
      <c r="F15" s="29">
        <v>0.3071</v>
      </c>
      <c r="G15" s="29">
        <f>5.3194*0.001</f>
      </c>
      <c r="H15" s="29">
        <v>2990.94</v>
      </c>
      <c r="I15" s="29">
        <v>52.818</v>
      </c>
      <c r="J15" s="18"/>
      <c r="K15" s="18"/>
      <c r="L15" s="18"/>
    </row>
    <row x14ac:dyDescent="0.25" r="16" customHeight="1" ht="17.25" customFormat="1" s="20">
      <c r="A16" s="28" t="s">
        <v>165</v>
      </c>
      <c r="B16" s="29">
        <v>18.9984</v>
      </c>
      <c r="C16" s="29">
        <v>18.9984</v>
      </c>
      <c r="D16" s="29">
        <v>1.41193</v>
      </c>
      <c r="E16" s="29">
        <v>0.8901</v>
      </c>
      <c r="F16" s="29">
        <v>0.01347</v>
      </c>
      <c r="G16" s="29">
        <f>3.3*0.00001</f>
      </c>
      <c r="H16" s="29">
        <v>916.64</v>
      </c>
      <c r="I16" s="29">
        <v>11.236</v>
      </c>
      <c r="J16" s="31"/>
      <c r="K16" s="18"/>
      <c r="L16" s="18"/>
    </row>
    <row x14ac:dyDescent="0.25" r="17" customHeight="1" ht="17.25" customFormat="1" s="20">
      <c r="A17" s="28" t="s">
        <v>166</v>
      </c>
      <c r="B17" s="29">
        <v>34.969</v>
      </c>
      <c r="C17" s="29">
        <v>34.969</v>
      </c>
      <c r="D17" s="29">
        <v>1.9879</v>
      </c>
      <c r="E17" s="29">
        <v>0.2439</v>
      </c>
      <c r="F17" s="29">
        <v>0.00149</v>
      </c>
      <c r="G17" s="29">
        <f>1.86*0.000001</f>
      </c>
      <c r="H17" s="29">
        <v>559.72</v>
      </c>
      <c r="I17" s="29">
        <v>2.675</v>
      </c>
      <c r="J17" s="18"/>
      <c r="K17" s="18"/>
      <c r="L17" s="18"/>
    </row>
    <row x14ac:dyDescent="0.25" r="18" customHeight="1" ht="17.25" customFormat="1" s="20">
      <c r="A18" s="28" t="s">
        <v>167</v>
      </c>
      <c r="B18" s="29">
        <v>14.003</v>
      </c>
      <c r="C18" s="29">
        <v>14.003</v>
      </c>
      <c r="D18" s="29">
        <v>1.09768</v>
      </c>
      <c r="E18" s="29">
        <v>1.99824</v>
      </c>
      <c r="F18" s="29">
        <v>0.01731</v>
      </c>
      <c r="G18" s="29">
        <f>5.76*0.00001</f>
      </c>
      <c r="H18" s="29">
        <v>2358.57</v>
      </c>
      <c r="I18" s="29">
        <v>14.324</v>
      </c>
      <c r="J18" s="18"/>
      <c r="K18" s="18"/>
      <c r="L18" s="18"/>
    </row>
    <row x14ac:dyDescent="0.25" r="19" customHeight="1" ht="17.25" customFormat="1" s="20">
      <c r="A19" s="28" t="s">
        <v>168</v>
      </c>
      <c r="B19" s="29">
        <v>14.003</v>
      </c>
      <c r="C19" s="29">
        <v>15.995</v>
      </c>
      <c r="D19" s="29">
        <v>1.15077</v>
      </c>
      <c r="E19" s="29">
        <v>1.67195</v>
      </c>
      <c r="F19" s="29">
        <v>0.0171</v>
      </c>
      <c r="G19" s="29">
        <f>0.54*0.00001</f>
      </c>
      <c r="H19" s="29">
        <v>1904.2</v>
      </c>
      <c r="I19" s="29">
        <v>14.075</v>
      </c>
      <c r="J19" s="18"/>
      <c r="K19" s="18"/>
      <c r="L19" s="18"/>
    </row>
    <row x14ac:dyDescent="0.25" r="20" customHeight="1" ht="17.25" customFormat="1" s="20">
      <c r="A20" s="28" t="s">
        <v>169</v>
      </c>
      <c r="B20" s="29">
        <v>15.995</v>
      </c>
      <c r="C20" s="29">
        <v>15.995</v>
      </c>
      <c r="D20" s="29">
        <v>1.20752</v>
      </c>
      <c r="E20" s="29">
        <v>1.4456</v>
      </c>
      <c r="F20" s="29">
        <v>0.01593</v>
      </c>
      <c r="G20" s="29">
        <f>4.839*0.00001</f>
      </c>
      <c r="H20" s="29">
        <v>1580.19</v>
      </c>
      <c r="I20" s="29">
        <v>11.98</v>
      </c>
      <c r="J20" s="18"/>
      <c r="K20" s="18"/>
      <c r="L20" s="18"/>
    </row>
    <row x14ac:dyDescent="0.25" r="21" customHeight="1" ht="17.25" customFormat="1" s="20">
      <c r="A21" s="28" t="s">
        <v>170</v>
      </c>
      <c r="B21" s="29">
        <v>31.972</v>
      </c>
      <c r="C21" s="29">
        <v>31.972</v>
      </c>
      <c r="D21" s="29">
        <v>1.8892</v>
      </c>
      <c r="E21" s="29">
        <v>0.29547</v>
      </c>
      <c r="F21" s="29">
        <v>0.00157</v>
      </c>
      <c r="G21" s="29">
        <f>1.9*0.000001</f>
      </c>
      <c r="H21" s="29">
        <v>725.65</v>
      </c>
      <c r="I21" s="29">
        <v>2.844</v>
      </c>
      <c r="J21" s="18"/>
      <c r="K21" s="18"/>
      <c r="L21" s="18"/>
    </row>
    <row x14ac:dyDescent="0.25" r="22" customHeight="1" ht="17.25" customFormat="1" s="20">
      <c r="A22" s="28" t="s">
        <v>171</v>
      </c>
      <c r="B22" s="29">
        <v>31.972</v>
      </c>
      <c r="C22" s="29">
        <v>15.995</v>
      </c>
      <c r="D22" s="29">
        <v>1.48108</v>
      </c>
      <c r="E22" s="29">
        <v>0.720817</v>
      </c>
      <c r="F22" s="29">
        <v>0.005736</v>
      </c>
      <c r="G22" s="29">
        <f>1.134*0.00001</f>
      </c>
      <c r="H22" s="29">
        <v>1149.22</v>
      </c>
      <c r="I22" s="29">
        <v>5.63</v>
      </c>
      <c r="J22" s="18"/>
      <c r="K22" s="18"/>
      <c r="L22" s="18"/>
    </row>
    <row x14ac:dyDescent="0.25" r="23" customHeight="1" ht="17.25" customFormat="1" s="20">
      <c r="A23" s="28" t="s">
        <v>172</v>
      </c>
      <c r="B23" s="29">
        <v>7.016</v>
      </c>
      <c r="C23" s="29">
        <v>18.998</v>
      </c>
      <c r="D23" s="29">
        <v>1.56386</v>
      </c>
      <c r="E23" s="29">
        <v>1.34525</v>
      </c>
      <c r="F23" s="29">
        <v>0.02028</v>
      </c>
      <c r="G23" s="29">
        <f>1.175*0.0001</f>
      </c>
      <c r="H23" s="29">
        <v>910.34</v>
      </c>
      <c r="I23" s="29">
        <v>7.929</v>
      </c>
      <c r="J23" s="18"/>
      <c r="K23" s="18"/>
      <c r="L23" s="18"/>
    </row>
    <row x14ac:dyDescent="0.25" r="24" customHeight="1" ht="17.25" customFormat="1" s="20">
      <c r="A24" s="28" t="s">
        <v>173</v>
      </c>
      <c r="B24" s="29">
        <v>7.016</v>
      </c>
      <c r="C24" s="29">
        <v>34.969</v>
      </c>
      <c r="D24" s="29">
        <v>2.02067</v>
      </c>
      <c r="E24" s="29">
        <v>0.706522</v>
      </c>
      <c r="F24" s="29">
        <v>0.008</v>
      </c>
      <c r="G24" s="29">
        <f>3.408*0.00001</f>
      </c>
      <c r="H24" s="29">
        <v>643.31</v>
      </c>
      <c r="I24" s="29">
        <v>4.501</v>
      </c>
      <c r="J24" s="18"/>
      <c r="K24" s="18"/>
      <c r="L24" s="18"/>
    </row>
    <row x14ac:dyDescent="0.25" r="25" customHeight="1" ht="17.25" customFormat="1" s="20">
      <c r="A25" s="28" t="s">
        <v>174</v>
      </c>
      <c r="B25" s="29">
        <v>22.99</v>
      </c>
      <c r="C25" s="29">
        <v>18.998</v>
      </c>
      <c r="D25" s="29">
        <v>1.9259</v>
      </c>
      <c r="E25" s="29">
        <v>0.436901</v>
      </c>
      <c r="F25" s="29">
        <v>0.004558</v>
      </c>
      <c r="G25" s="29">
        <f>1.161*0.00001</f>
      </c>
      <c r="H25" s="32">
        <v>536</v>
      </c>
      <c r="I25" s="29">
        <v>3.4</v>
      </c>
      <c r="J25" s="18"/>
      <c r="K25" s="18"/>
      <c r="L25" s="18"/>
    </row>
    <row x14ac:dyDescent="0.25" r="26" customHeight="1" ht="17.25" customFormat="1" s="20">
      <c r="A26" s="28" t="s">
        <v>175</v>
      </c>
      <c r="B26" s="29">
        <v>22.99</v>
      </c>
      <c r="C26" s="29">
        <v>34.969</v>
      </c>
      <c r="D26" s="29">
        <v>2.3607</v>
      </c>
      <c r="E26" s="29">
        <v>0.218063</v>
      </c>
      <c r="F26" s="29">
        <v>0.001624</v>
      </c>
      <c r="G26" s="29">
        <f>3.12*0.000001</f>
      </c>
      <c r="H26" s="32">
        <v>366</v>
      </c>
      <c r="I26" s="29">
        <v>2.05</v>
      </c>
      <c r="J26" s="18"/>
      <c r="K26" s="18"/>
      <c r="L26" s="18"/>
    </row>
    <row x14ac:dyDescent="0.25" r="27" customHeight="1" ht="17.25" customFormat="1" s="20">
      <c r="A27" s="28" t="s">
        <v>176</v>
      </c>
      <c r="B27" s="29">
        <v>38.964</v>
      </c>
      <c r="C27" s="29">
        <v>18.998</v>
      </c>
      <c r="D27" s="29">
        <v>2.17145</v>
      </c>
      <c r="E27" s="29">
        <v>0.279937</v>
      </c>
      <c r="F27" s="29">
        <f>2.335*0.01</f>
      </c>
      <c r="G27" s="29">
        <v>0.04834</v>
      </c>
      <c r="H27" s="32">
        <v>428</v>
      </c>
      <c r="I27" s="29">
        <v>2.4</v>
      </c>
      <c r="J27" s="18"/>
      <c r="K27" s="18"/>
      <c r="L27" s="18"/>
    </row>
    <row x14ac:dyDescent="0.25" r="28" customHeight="1" ht="17.25" customFormat="1" s="20">
      <c r="A28" s="28" t="s">
        <v>177</v>
      </c>
      <c r="B28" s="29">
        <v>38.964</v>
      </c>
      <c r="C28" s="29">
        <v>34.969</v>
      </c>
      <c r="D28" s="29">
        <v>2.66665</v>
      </c>
      <c r="E28" s="29">
        <v>0.128634</v>
      </c>
      <c r="F28" s="29">
        <v>0.000789</v>
      </c>
      <c r="G28" s="29">
        <f>1.0874*0.000001</f>
      </c>
      <c r="H28" s="32">
        <v>281</v>
      </c>
      <c r="I28" s="29">
        <v>1.3</v>
      </c>
      <c r="J28" s="18"/>
      <c r="K28" s="18"/>
      <c r="L28" s="18"/>
    </row>
    <row x14ac:dyDescent="0.25" r="29" customHeight="1" ht="17.25" customFormat="1" s="20">
      <c r="A29" s="28" t="s">
        <v>178</v>
      </c>
      <c r="B29" s="29">
        <v>23.985</v>
      </c>
      <c r="C29" s="29">
        <v>15.995</v>
      </c>
      <c r="D29" s="29">
        <v>1.749</v>
      </c>
      <c r="E29" s="29">
        <v>0.5743</v>
      </c>
      <c r="F29" s="29">
        <v>0.005</v>
      </c>
      <c r="G29" s="29">
        <f>1.22*0.00001</f>
      </c>
      <c r="H29" s="32">
        <v>785</v>
      </c>
      <c r="I29" s="29">
        <v>5.18</v>
      </c>
      <c r="J29" s="18"/>
      <c r="K29" s="18"/>
      <c r="L29" s="18"/>
    </row>
    <row x14ac:dyDescent="0.25" r="30" customHeight="1" ht="17.25" customFormat="1" s="20">
      <c r="A30" s="28" t="s">
        <v>179</v>
      </c>
      <c r="B30" s="29">
        <v>23.985</v>
      </c>
      <c r="C30" s="29">
        <v>31.972</v>
      </c>
      <c r="D30" s="29">
        <v>2.1425</v>
      </c>
      <c r="E30" s="29">
        <v>0.26797</v>
      </c>
      <c r="F30" s="29">
        <v>0.00176</v>
      </c>
      <c r="G30" s="29">
        <f>0.276*0.00001</f>
      </c>
      <c r="H30" s="29">
        <v>528.74</v>
      </c>
      <c r="I30" s="29">
        <v>2.704</v>
      </c>
      <c r="J30" s="18"/>
      <c r="K30" s="18"/>
      <c r="L30" s="18"/>
    </row>
    <row x14ac:dyDescent="0.25" r="31" customHeight="1" ht="17.25" customFormat="1" s="20">
      <c r="A31" s="28" t="s">
        <v>180</v>
      </c>
      <c r="B31" s="32">
        <v>12</v>
      </c>
      <c r="C31" s="29">
        <v>15.995</v>
      </c>
      <c r="D31" s="29">
        <v>1.12832</v>
      </c>
      <c r="E31" s="29">
        <v>1.93128</v>
      </c>
      <c r="F31" s="29">
        <v>0.0175044</v>
      </c>
      <c r="G31" s="29">
        <f>6.1214*0.00001</f>
      </c>
      <c r="H31" s="29">
        <v>2169.81</v>
      </c>
      <c r="I31" s="29">
        <v>13.288</v>
      </c>
      <c r="J31" s="18"/>
      <c r="K31" s="18"/>
      <c r="L31" s="18"/>
    </row>
    <row x14ac:dyDescent="0.25" r="32" customHeight="1" ht="17.25" customFormat="1" s="20">
      <c r="A32" s="28" t="s">
        <v>181</v>
      </c>
      <c r="B32" s="32">
        <v>12</v>
      </c>
      <c r="C32" s="29">
        <v>31.972</v>
      </c>
      <c r="D32" s="29">
        <v>1.534941</v>
      </c>
      <c r="E32" s="29">
        <v>0.820046</v>
      </c>
      <c r="F32" s="29">
        <v>0.0059224</v>
      </c>
      <c r="G32" s="29">
        <f>1.43*0.00001</f>
      </c>
      <c r="H32" s="29">
        <v>1285.08</v>
      </c>
      <c r="I32" s="29">
        <v>6.46</v>
      </c>
      <c r="J32" s="18"/>
      <c r="K32" s="18"/>
      <c r="L32" s="18"/>
    </row>
    <row x14ac:dyDescent="0.25" r="33" customHeight="1" ht="17.25" customFormat="1" s="20">
      <c r="A33" s="28" t="s">
        <v>182</v>
      </c>
      <c r="B33" s="29">
        <v>39.963</v>
      </c>
      <c r="C33" s="29">
        <v>15.995</v>
      </c>
      <c r="D33" s="29">
        <v>1.8221</v>
      </c>
      <c r="E33" s="29">
        <v>0.44452</v>
      </c>
      <c r="F33" s="29">
        <v>0.00338</v>
      </c>
      <c r="G33" s="29">
        <f>6.58*0.000001</f>
      </c>
      <c r="H33" s="29">
        <v>732.1</v>
      </c>
      <c r="I33" s="29">
        <v>4.81</v>
      </c>
      <c r="J33" s="18"/>
      <c r="K33" s="18"/>
      <c r="L33" s="18"/>
    </row>
    <row x14ac:dyDescent="0.25" r="34" customHeight="1" ht="17.25" customFormat="1" s="20">
      <c r="A34" s="28" t="s">
        <v>183</v>
      </c>
      <c r="B34" s="29">
        <v>39.963</v>
      </c>
      <c r="C34" s="29">
        <v>31.972</v>
      </c>
      <c r="D34" s="29">
        <v>2.3178</v>
      </c>
      <c r="E34" s="29">
        <v>0.17667</v>
      </c>
      <c r="F34" s="29">
        <v>0.000837</v>
      </c>
      <c r="G34" s="29">
        <f>0.102*0.00001</f>
      </c>
      <c r="H34" s="29">
        <v>462.23</v>
      </c>
      <c r="I34" s="29">
        <v>1.78</v>
      </c>
      <c r="J34" s="18"/>
      <c r="K34" s="18"/>
      <c r="L34" s="18"/>
    </row>
    <row x14ac:dyDescent="0.25" r="35" customHeight="1" ht="17.25">
      <c r="A35" s="16"/>
      <c r="B35" s="17"/>
      <c r="C35" s="17"/>
      <c r="D35" s="17"/>
      <c r="E35" s="17"/>
      <c r="F35" s="17"/>
      <c r="G35" s="17"/>
      <c r="H35" s="17"/>
      <c r="I35" s="17"/>
      <c r="J35" s="18"/>
      <c r="K35" s="19"/>
      <c r="L35" s="18"/>
    </row>
  </sheetData>
  <mergeCells count="8">
    <mergeCell ref="A2:A3"/>
    <mergeCell ref="B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33"/>
  <sheetViews>
    <sheetView workbookViewId="0"/>
  </sheetViews>
  <sheetFormatPr defaultRowHeight="15" x14ac:dyDescent="0.25"/>
  <cols>
    <col min="1" max="1" style="6" width="22.005" customWidth="1" bestFit="1"/>
    <col min="2" max="2" style="7" width="16.005" customWidth="1" bestFit="1"/>
    <col min="3" max="3" style="7" width="16.005" customWidth="1" bestFit="1"/>
    <col min="4" max="4" style="15" width="16.005" customWidth="1" bestFit="1"/>
  </cols>
  <sheetData>
    <row x14ac:dyDescent="0.25" r="1" customHeight="1" ht="18">
      <c r="A1" s="8" t="s">
        <v>0</v>
      </c>
      <c r="B1" s="9" t="s">
        <v>141</v>
      </c>
      <c r="C1" s="9" t="s">
        <v>142</v>
      </c>
      <c r="D1" s="10" t="s">
        <v>143</v>
      </c>
    </row>
    <row x14ac:dyDescent="0.25" r="2" customHeight="1" ht="18">
      <c r="A2" s="11" t="s">
        <v>10</v>
      </c>
      <c r="B2" s="12"/>
      <c r="C2" s="12"/>
      <c r="D2" s="13"/>
    </row>
    <row x14ac:dyDescent="0.25" r="3" customHeight="1" ht="18">
      <c r="A3" s="3" t="s">
        <v>9</v>
      </c>
      <c r="B3" s="4">
        <v>21.55988</v>
      </c>
      <c r="C3" s="4">
        <v>21.495294</v>
      </c>
      <c r="D3" s="14">
        <v>3.0047</v>
      </c>
    </row>
    <row x14ac:dyDescent="0.25" r="4" customHeight="1" ht="18">
      <c r="A4" s="3" t="s">
        <v>11</v>
      </c>
      <c r="B4" s="4">
        <v>64.55128</v>
      </c>
      <c r="C4" s="4">
        <v>64.1228</v>
      </c>
      <c r="D4" s="14">
        <v>6.6822</v>
      </c>
    </row>
    <row x14ac:dyDescent="0.25" r="5" customHeight="1" ht="18">
      <c r="A5" s="3" t="s">
        <v>12</v>
      </c>
      <c r="B5" s="4">
        <v>38.20531</v>
      </c>
      <c r="C5" s="4">
        <v>38.064531</v>
      </c>
      <c r="D5" s="14">
        <v>3.6984</v>
      </c>
    </row>
    <row x14ac:dyDescent="0.25" r="6" customHeight="1" ht="18">
      <c r="A6" s="3" t="s">
        <v>13</v>
      </c>
      <c r="B6" s="4">
        <v>208.3236</v>
      </c>
      <c r="C6" s="4">
        <v>206.839457</v>
      </c>
      <c r="D6" s="14">
        <v>7.1753</v>
      </c>
    </row>
    <row x14ac:dyDescent="0.25" r="7" customHeight="1" ht="18">
      <c r="A7" s="3" t="s">
        <v>14</v>
      </c>
      <c r="B7" s="4">
        <v>18.07887</v>
      </c>
      <c r="C7" s="4">
        <v>17.935379</v>
      </c>
      <c r="D7" s="14">
        <v>8.0005</v>
      </c>
    </row>
    <row x14ac:dyDescent="0.25" r="8" customHeight="1" ht="18">
      <c r="A8" s="3" t="s">
        <v>15</v>
      </c>
      <c r="B8" s="4">
        <v>71.5334</v>
      </c>
      <c r="C8" s="4">
        <v>71.151644</v>
      </c>
      <c r="D8" s="14">
        <v>5.3654</v>
      </c>
    </row>
    <row x14ac:dyDescent="0.25" r="9" customHeight="1" ht="18">
      <c r="A9" s="3" t="s">
        <v>16</v>
      </c>
      <c r="B9" s="4">
        <v>1.092419</v>
      </c>
      <c r="C9" s="4">
        <v>1.092403</v>
      </c>
      <c r="D9" s="14">
        <v>0.0147</v>
      </c>
    </row>
    <row x14ac:dyDescent="0.25" r="10" customHeight="1" ht="18">
      <c r="A10" s="3" t="s">
        <v>17</v>
      </c>
      <c r="B10" s="4">
        <v>19.78238</v>
      </c>
      <c r="C10" s="4">
        <v>19.71036</v>
      </c>
      <c r="D10" s="14">
        <v>3.6539</v>
      </c>
    </row>
    <row x14ac:dyDescent="0.25" r="11" customHeight="1" ht="18">
      <c r="A11" s="3" t="s">
        <v>18</v>
      </c>
      <c r="B11" s="4">
        <v>78.35492</v>
      </c>
      <c r="C11" s="4">
        <v>77.935826</v>
      </c>
      <c r="D11" s="14">
        <v>5.3774</v>
      </c>
    </row>
    <row x14ac:dyDescent="0.25" r="12" customHeight="1" ht="18">
      <c r="A12" s="3" t="s">
        <v>19</v>
      </c>
      <c r="B12" s="4">
        <v>2.192593</v>
      </c>
      <c r="C12" s="4">
        <v>2.192284</v>
      </c>
      <c r="D12" s="14">
        <v>0.1408</v>
      </c>
    </row>
    <row x14ac:dyDescent="0.25" r="13" customHeight="1" ht="18">
      <c r="A13" s="3" t="s">
        <v>20</v>
      </c>
      <c r="B13" s="4">
        <v>2.419172</v>
      </c>
      <c r="C13" s="4">
        <v>2.417585</v>
      </c>
      <c r="D13" s="14">
        <v>0.6563</v>
      </c>
    </row>
    <row x14ac:dyDescent="0.25" r="14" customHeight="1" ht="18">
      <c r="A14" s="3" t="s">
        <v>21</v>
      </c>
      <c r="B14" s="4">
        <v>1.464891</v>
      </c>
      <c r="C14" s="4">
        <v>1.462955</v>
      </c>
      <c r="D14" s="14">
        <v>1.3236</v>
      </c>
    </row>
    <row x14ac:dyDescent="0.25" r="15" customHeight="1" ht="18">
      <c r="A15" s="3" t="s">
        <v>22</v>
      </c>
      <c r="B15" s="4">
        <v>1.15833</v>
      </c>
      <c r="C15" s="4">
        <v>1.15766</v>
      </c>
      <c r="D15" s="14">
        <v>0.5789</v>
      </c>
    </row>
    <row x14ac:dyDescent="0.25" r="16" customHeight="1" ht="18">
      <c r="A16" s="3" t="s">
        <v>23</v>
      </c>
      <c r="B16" s="4">
        <v>1.32642</v>
      </c>
      <c r="C16" s="4">
        <v>1.324939</v>
      </c>
      <c r="D16" s="14">
        <v>1.1174</v>
      </c>
    </row>
    <row x14ac:dyDescent="0.25" r="17" customHeight="1" ht="18">
      <c r="A17" s="3" t="s">
        <v>24</v>
      </c>
      <c r="B17" s="4">
        <v>1.191023</v>
      </c>
      <c r="C17" s="4">
        <v>1.190111</v>
      </c>
      <c r="D17" s="14">
        <v>0.7662</v>
      </c>
    </row>
    <row x14ac:dyDescent="0.25" r="18" customHeight="1" ht="18">
      <c r="A18" s="3" t="s">
        <v>25</v>
      </c>
      <c r="B18" s="4">
        <v>1.380695</v>
      </c>
      <c r="C18" s="4">
        <v>1.3788</v>
      </c>
      <c r="D18" s="14">
        <v>1.3746</v>
      </c>
    </row>
    <row x14ac:dyDescent="0.25" r="19" customHeight="1" ht="18">
      <c r="A19" s="3" t="s">
        <v>26</v>
      </c>
      <c r="B19" s="4">
        <v>1.582121</v>
      </c>
      <c r="C19" s="4">
        <v>1.579138</v>
      </c>
      <c r="D19" s="14">
        <v>1.8888</v>
      </c>
    </row>
    <row x14ac:dyDescent="0.25" r="20" customHeight="1" ht="18">
      <c r="A20" s="3" t="s">
        <v>27</v>
      </c>
      <c r="B20" s="4">
        <v>2.612244</v>
      </c>
      <c r="C20" s="4">
        <v>2.606838</v>
      </c>
      <c r="D20" s="14">
        <v>2.0737</v>
      </c>
    </row>
    <row x14ac:dyDescent="0.25" r="21" customHeight="1" ht="18">
      <c r="A21" s="3" t="s">
        <v>28</v>
      </c>
      <c r="B21" s="4">
        <v>1.320742</v>
      </c>
      <c r="C21" s="4">
        <v>1.317857</v>
      </c>
      <c r="D21" s="14">
        <v>2.1891</v>
      </c>
    </row>
    <row x14ac:dyDescent="0.25" r="22" customHeight="1" ht="18">
      <c r="A22" s="3" t="s">
        <v>29</v>
      </c>
      <c r="B22" s="4">
        <v>3.00419</v>
      </c>
      <c r="C22" s="4">
        <v>2.994673</v>
      </c>
      <c r="D22" s="14">
        <v>3.178</v>
      </c>
    </row>
    <row x14ac:dyDescent="0.25" r="23" customHeight="1" ht="18">
      <c r="A23" s="3" t="s">
        <v>30</v>
      </c>
      <c r="B23" s="4">
        <v>1.709077</v>
      </c>
      <c r="C23" s="4">
        <v>1.701955</v>
      </c>
      <c r="D23" s="14">
        <v>4.1845</v>
      </c>
    </row>
    <row x14ac:dyDescent="0.25" r="24" customHeight="1" ht="18">
      <c r="A24" s="3" t="s">
        <v>31</v>
      </c>
      <c r="B24" s="4">
        <v>2.11054</v>
      </c>
      <c r="C24" s="4">
        <v>2.110246</v>
      </c>
      <c r="D24" s="14">
        <v>0.1395</v>
      </c>
    </row>
    <row x14ac:dyDescent="0.25" r="25" customHeight="1" ht="18">
      <c r="A25" s="3" t="s">
        <v>32</v>
      </c>
      <c r="B25" s="4">
        <v>2.222866</v>
      </c>
      <c r="C25" s="4">
        <v>2.222222</v>
      </c>
      <c r="D25" s="14">
        <v>0.2898</v>
      </c>
    </row>
    <row x14ac:dyDescent="0.25" r="26" customHeight="1" ht="18">
      <c r="A26" s="3" t="s">
        <v>33</v>
      </c>
      <c r="B26" s="4">
        <v>2.454352</v>
      </c>
      <c r="C26" s="4">
        <v>2.452951</v>
      </c>
      <c r="D26" s="14">
        <v>0.5712</v>
      </c>
    </row>
    <row x14ac:dyDescent="0.25" r="27" customHeight="1" ht="18">
      <c r="A27" s="3" t="s">
        <v>34</v>
      </c>
      <c r="B27" s="4">
        <v>1.113638</v>
      </c>
      <c r="C27" s="4">
        <v>1.113305</v>
      </c>
      <c r="D27" s="14">
        <v>0.2988</v>
      </c>
    </row>
    <row x14ac:dyDescent="0.25" r="28" customHeight="1" ht="18">
      <c r="A28" s="3" t="s">
        <v>35</v>
      </c>
      <c r="B28" s="4">
        <v>2.345848</v>
      </c>
      <c r="C28" s="4">
        <v>2.344804</v>
      </c>
      <c r="D28" s="14">
        <v>0.4453</v>
      </c>
    </row>
    <row x14ac:dyDescent="0.25" r="29" customHeight="1" ht="18">
      <c r="A29" s="3" t="s">
        <v>36</v>
      </c>
      <c r="B29" s="4">
        <v>2.5902</v>
      </c>
      <c r="C29" s="4">
        <v>2.588346</v>
      </c>
      <c r="D29" s="14">
        <v>0.7161</v>
      </c>
    </row>
    <row x14ac:dyDescent="0.25" r="30" customHeight="1" ht="18">
      <c r="A30" s="3" t="s">
        <v>37</v>
      </c>
      <c r="B30" s="4">
        <v>1.235391</v>
      </c>
      <c r="C30" s="4">
        <v>1.234656</v>
      </c>
      <c r="D30" s="14">
        <v>0.595</v>
      </c>
    </row>
    <row x14ac:dyDescent="0.25" r="31" customHeight="1" ht="18">
      <c r="A31" s="3" t="s">
        <v>38</v>
      </c>
      <c r="B31" s="4">
        <v>2.728239</v>
      </c>
      <c r="C31" s="4">
        <v>2.725873</v>
      </c>
      <c r="D31" s="14">
        <v>0.8679</v>
      </c>
    </row>
    <row x14ac:dyDescent="0.25" r="32" customHeight="1" ht="18">
      <c r="A32" s="3" t="s">
        <v>39</v>
      </c>
      <c r="B32" s="4">
        <v>1.506338</v>
      </c>
      <c r="C32" s="4">
        <v>1.504633</v>
      </c>
      <c r="D32" s="14">
        <v>1.133</v>
      </c>
    </row>
    <row x14ac:dyDescent="0.25" r="33" customHeight="1" ht="18">
      <c r="A33" s="3" t="s">
        <v>40</v>
      </c>
      <c r="B33" s="4">
        <v>1.141308</v>
      </c>
      <c r="C33" s="4">
        <v>1.140409</v>
      </c>
      <c r="D33" s="14">
        <v>0.7879</v>
      </c>
    </row>
    <row x14ac:dyDescent="0.25" r="34" customHeight="1" ht="18">
      <c r="A34" s="3" t="s">
        <v>41</v>
      </c>
      <c r="B34" s="4">
        <v>1.28976</v>
      </c>
      <c r="C34" s="4">
        <v>1.287818</v>
      </c>
      <c r="D34" s="14">
        <v>1.5079</v>
      </c>
    </row>
    <row x14ac:dyDescent="0.25" r="35" customHeight="1" ht="18">
      <c r="A35" s="3" t="s">
        <v>42</v>
      </c>
      <c r="B35" s="4">
        <v>1.058234</v>
      </c>
      <c r="C35" s="4">
        <v>1.058029</v>
      </c>
      <c r="D35" s="14">
        <v>0.1939</v>
      </c>
    </row>
    <row x14ac:dyDescent="0.25" r="36" customHeight="1" ht="18">
      <c r="A36" s="3" t="s">
        <v>43</v>
      </c>
      <c r="B36" s="4">
        <v>1.207928</v>
      </c>
      <c r="C36" s="4">
        <v>1.206724</v>
      </c>
      <c r="D36" s="14">
        <v>0.9977</v>
      </c>
    </row>
    <row x14ac:dyDescent="0.25" r="37" customHeight="1" ht="18">
      <c r="A37" s="3" t="s">
        <v>44</v>
      </c>
      <c r="B37" s="4">
        <v>1.3652</v>
      </c>
      <c r="C37" s="4">
        <v>1.362847</v>
      </c>
      <c r="D37" s="14">
        <v>1.7267</v>
      </c>
    </row>
    <row x14ac:dyDescent="0.25" r="38" customHeight="1" ht="18">
      <c r="A38" s="3" t="s">
        <v>45</v>
      </c>
      <c r="B38" s="4">
        <v>1.117483</v>
      </c>
      <c r="C38" s="4">
        <v>1.117061</v>
      </c>
      <c r="D38" s="14">
        <v>0.378</v>
      </c>
    </row>
    <row x14ac:dyDescent="0.25" r="39" customHeight="1" ht="18">
      <c r="A39" s="3" t="s">
        <v>46</v>
      </c>
      <c r="B39" s="4">
        <v>1.275701</v>
      </c>
      <c r="C39" s="4">
        <v>1.27419</v>
      </c>
      <c r="D39" s="14">
        <v>1.1857</v>
      </c>
    </row>
    <row x14ac:dyDescent="0.25" r="40" customHeight="1" ht="18">
      <c r="A40" s="3" t="s">
        <v>47</v>
      </c>
      <c r="B40" s="4">
        <v>1.441928</v>
      </c>
      <c r="C40" s="4">
        <v>1.439184</v>
      </c>
      <c r="D40" s="14">
        <v>1.9068</v>
      </c>
    </row>
    <row x14ac:dyDescent="0.25" r="41" customHeight="1" ht="18">
      <c r="A41" s="3" t="s">
        <v>48</v>
      </c>
      <c r="B41" s="4">
        <v>1.239866</v>
      </c>
      <c r="C41" s="4">
        <v>1.23896</v>
      </c>
      <c r="D41" s="14">
        <v>0.7312</v>
      </c>
    </row>
    <row x14ac:dyDescent="0.25" r="42" customHeight="1" ht="18">
      <c r="A42" s="3" t="s">
        <v>49</v>
      </c>
      <c r="B42" s="4">
        <v>1.283778</v>
      </c>
      <c r="C42" s="4">
        <v>1.413521</v>
      </c>
      <c r="D42" s="14">
        <v>-91.787</v>
      </c>
    </row>
    <row x14ac:dyDescent="0.25" r="43" customHeight="1" ht="18">
      <c r="A43" s="3" t="s">
        <v>50</v>
      </c>
      <c r="B43" s="4">
        <v>1.600496</v>
      </c>
      <c r="C43" s="4">
        <v>1.59685</v>
      </c>
      <c r="D43" s="14">
        <v>2.2832</v>
      </c>
    </row>
    <row x14ac:dyDescent="0.25" r="44" customHeight="1" ht="18">
      <c r="A44" s="3" t="s">
        <v>51</v>
      </c>
      <c r="B44" s="4">
        <v>1.162996</v>
      </c>
      <c r="C44" s="4">
        <v>1.162767</v>
      </c>
      <c r="D44" s="14">
        <v>0.1966</v>
      </c>
    </row>
    <row x14ac:dyDescent="0.25" r="45" customHeight="1" ht="18">
      <c r="A45" s="3" t="s">
        <v>52</v>
      </c>
      <c r="B45" s="4">
        <v>1.336497</v>
      </c>
      <c r="C45" s="4">
        <v>1.336004</v>
      </c>
      <c r="D45" s="14">
        <v>0.3693</v>
      </c>
    </row>
    <row x14ac:dyDescent="0.25" r="46" customHeight="1" ht="18">
      <c r="A46" s="3" t="s">
        <v>53</v>
      </c>
      <c r="B46" s="4">
        <v>1.251984</v>
      </c>
      <c r="C46" s="4">
        <v>1.251542</v>
      </c>
      <c r="D46" s="14">
        <v>0.3531</v>
      </c>
    </row>
    <row x14ac:dyDescent="0.25" r="47" customHeight="1" ht="18">
      <c r="A47" s="3" t="s">
        <v>54</v>
      </c>
      <c r="B47" s="4">
        <v>1.457635</v>
      </c>
      <c r="C47" s="4">
        <v>1.45683</v>
      </c>
      <c r="D47" s="14">
        <v>0.5527</v>
      </c>
    </row>
    <row x14ac:dyDescent="0.25" r="48" customHeight="1" ht="18">
      <c r="A48" s="3" t="s">
        <v>55</v>
      </c>
      <c r="B48" s="4">
        <v>1.676763</v>
      </c>
      <c r="C48" s="4">
        <v>1.675533</v>
      </c>
      <c r="D48" s="14">
        <v>0.7342</v>
      </c>
    </row>
    <row x14ac:dyDescent="0.25" r="49" customHeight="1" ht="18">
      <c r="A49" s="3" t="s">
        <v>56</v>
      </c>
      <c r="B49" s="4">
        <v>1.531726</v>
      </c>
      <c r="C49" s="4">
        <v>1.530748</v>
      </c>
      <c r="D49" s="14">
        <v>0.6392</v>
      </c>
    </row>
    <row x14ac:dyDescent="0.25" r="50" customHeight="1" ht="18">
      <c r="A50" s="3" t="s">
        <v>57</v>
      </c>
      <c r="B50" s="4">
        <v>1.785105</v>
      </c>
      <c r="C50" s="4">
        <v>1.783572</v>
      </c>
      <c r="D50" s="14">
        <v>0.8597</v>
      </c>
    </row>
    <row x14ac:dyDescent="0.25" r="51" customHeight="1" ht="18">
      <c r="A51" s="3" t="s">
        <v>58</v>
      </c>
      <c r="B51" s="4">
        <v>2.055315</v>
      </c>
      <c r="C51" s="4">
        <v>2.053155</v>
      </c>
      <c r="D51" s="14">
        <v>1.0521</v>
      </c>
    </row>
    <row x14ac:dyDescent="0.25" r="52" customHeight="1" ht="18">
      <c r="A52" s="3" t="s">
        <v>59</v>
      </c>
      <c r="B52" s="4">
        <v>1.057688</v>
      </c>
      <c r="C52" s="4">
        <v>1.057589</v>
      </c>
      <c r="D52" s="14">
        <v>0.0932</v>
      </c>
    </row>
    <row x14ac:dyDescent="0.25" r="53" customHeight="1" ht="18">
      <c r="A53" s="3" t="s">
        <v>60</v>
      </c>
      <c r="B53" s="4">
        <v>1.116356</v>
      </c>
      <c r="C53" s="4">
        <v>1.116158</v>
      </c>
      <c r="D53" s="14">
        <v>0.1778</v>
      </c>
    </row>
    <row x14ac:dyDescent="0.25" r="54" customHeight="1" ht="18">
      <c r="A54" s="3" t="s">
        <v>61</v>
      </c>
      <c r="B54" s="4">
        <v>1.237441</v>
      </c>
      <c r="C54" s="4">
        <v>1.237051</v>
      </c>
      <c r="D54" s="14">
        <v>0.3155</v>
      </c>
    </row>
    <row x14ac:dyDescent="0.25" r="55" customHeight="1" ht="18">
      <c r="A55" s="3" t="s">
        <v>62</v>
      </c>
      <c r="B55" s="4">
        <v>1.207022</v>
      </c>
      <c r="C55" s="4">
        <v>1.206314</v>
      </c>
      <c r="D55" s="14">
        <v>0.5871</v>
      </c>
    </row>
    <row x14ac:dyDescent="0.25" r="56" customHeight="1" ht="18">
      <c r="A56" s="3" t="s">
        <v>63</v>
      </c>
      <c r="B56" s="4">
        <v>1.276884</v>
      </c>
      <c r="C56" s="4">
        <v>1.276005</v>
      </c>
      <c r="D56" s="14">
        <v>0.6889</v>
      </c>
    </row>
    <row x14ac:dyDescent="0.25" r="57" customHeight="1" ht="18">
      <c r="A57" s="3" t="s">
        <v>64</v>
      </c>
      <c r="B57" s="4">
        <v>1.347934</v>
      </c>
      <c r="C57" s="4">
        <v>1.346888</v>
      </c>
      <c r="D57" s="14">
        <v>0.7763</v>
      </c>
    </row>
    <row x14ac:dyDescent="0.25" r="58" customHeight="1" ht="18">
      <c r="A58" s="3" t="s">
        <v>65</v>
      </c>
      <c r="B58" s="4">
        <v>1.494596</v>
      </c>
      <c r="C58" s="4">
        <v>1.493225</v>
      </c>
      <c r="D58" s="14">
        <v>0.9178</v>
      </c>
    </row>
    <row x14ac:dyDescent="0.25" r="59" customHeight="1" ht="18">
      <c r="A59" s="3" t="s">
        <v>66</v>
      </c>
      <c r="B59" s="4">
        <v>1.430589</v>
      </c>
      <c r="C59" s="4">
        <v>1.428971</v>
      </c>
      <c r="D59" s="14">
        <v>1.1319</v>
      </c>
    </row>
    <row x14ac:dyDescent="0.25" r="60" customHeight="1" ht="18">
      <c r="A60" s="3" t="s">
        <v>67</v>
      </c>
      <c r="B60" s="4">
        <v>1.513584</v>
      </c>
      <c r="C60" s="4">
        <v>1.51176</v>
      </c>
      <c r="D60" s="14">
        <v>1.2063</v>
      </c>
    </row>
    <row x14ac:dyDescent="0.25" r="61" customHeight="1" ht="18">
      <c r="A61" s="3" t="s">
        <v>68</v>
      </c>
      <c r="B61" s="4">
        <v>1.598047</v>
      </c>
      <c r="C61" s="4">
        <v>1.595974</v>
      </c>
      <c r="D61" s="14">
        <v>1.2988</v>
      </c>
    </row>
    <row x14ac:dyDescent="0.25" r="62" customHeight="1" ht="18">
      <c r="A62" s="3" t="s">
        <v>69</v>
      </c>
      <c r="B62" s="4">
        <v>1.772432</v>
      </c>
      <c r="C62" s="4">
        <v>1.769856</v>
      </c>
      <c r="D62" s="14">
        <v>1.4553</v>
      </c>
    </row>
    <row x14ac:dyDescent="0.25" r="63" customHeight="1" ht="18">
      <c r="A63" s="3" t="s">
        <v>70</v>
      </c>
      <c r="B63" s="4">
        <v>0.729445</v>
      </c>
      <c r="C63" s="4">
        <v>0.729474</v>
      </c>
      <c r="D63" s="14">
        <v>-0.0395</v>
      </c>
    </row>
    <row x14ac:dyDescent="0.25" r="64" customHeight="1" ht="18">
      <c r="A64" s="3" t="s">
        <v>71</v>
      </c>
      <c r="B64" s="4">
        <v>0.751538</v>
      </c>
      <c r="C64" s="4">
        <v>0.751632</v>
      </c>
      <c r="D64" s="14">
        <v>-0.1246</v>
      </c>
    </row>
    <row x14ac:dyDescent="0.25" r="65" customHeight="1" ht="18">
      <c r="A65" s="3" t="s">
        <v>72</v>
      </c>
      <c r="B65" s="4">
        <v>1.09082</v>
      </c>
      <c r="C65" s="4">
        <v>1.090791</v>
      </c>
      <c r="D65" s="14">
        <v>0.0269</v>
      </c>
    </row>
    <row x14ac:dyDescent="0.25" r="66" customHeight="1" ht="18">
      <c r="A66" s="3" t="s">
        <v>73</v>
      </c>
      <c r="B66" s="4">
        <v>0.819723</v>
      </c>
      <c r="C66" s="4">
        <v>0.819817</v>
      </c>
      <c r="D66" s="14">
        <v>-0.115</v>
      </c>
    </row>
    <row x14ac:dyDescent="0.25" r="67" customHeight="1" ht="18">
      <c r="A67" s="11" t="s">
        <v>75</v>
      </c>
      <c r="B67" s="12"/>
      <c r="C67" s="12"/>
      <c r="D67" s="13"/>
    </row>
    <row x14ac:dyDescent="0.25" r="68" customHeight="1" ht="18">
      <c r="A68" s="3" t="s">
        <v>74</v>
      </c>
      <c r="B68" s="4">
        <v>1.090174</v>
      </c>
      <c r="C68" s="4">
        <v>1.090192</v>
      </c>
      <c r="D68" s="14">
        <v>-0.0169</v>
      </c>
    </row>
    <row x14ac:dyDescent="0.25" r="69" customHeight="1" ht="18">
      <c r="A69" s="3" t="s">
        <v>76</v>
      </c>
      <c r="B69" s="4">
        <v>1.04037</v>
      </c>
      <c r="C69" s="4">
        <v>1.040382</v>
      </c>
      <c r="D69" s="14">
        <v>-0.012</v>
      </c>
    </row>
    <row x14ac:dyDescent="0.25" r="70" customHeight="1" ht="18">
      <c r="A70" s="3" t="s">
        <v>77</v>
      </c>
      <c r="B70" s="4">
        <v>1.039827</v>
      </c>
      <c r="C70" s="4">
        <v>1.039809</v>
      </c>
      <c r="D70" s="14">
        <v>0.0174</v>
      </c>
    </row>
    <row x14ac:dyDescent="0.25" r="71" customHeight="1" ht="18">
      <c r="A71" s="3" t="s">
        <v>78</v>
      </c>
      <c r="B71" s="4">
        <v>1.080063</v>
      </c>
      <c r="C71" s="4">
        <v>1.080034</v>
      </c>
      <c r="D71" s="14">
        <v>0.0271</v>
      </c>
    </row>
    <row x14ac:dyDescent="0.25" r="72" customHeight="1" ht="18">
      <c r="A72" s="3" t="s">
        <v>79</v>
      </c>
      <c r="B72" s="4">
        <v>1.089578</v>
      </c>
      <c r="C72" s="4">
        <v>1.089531</v>
      </c>
      <c r="D72" s="14">
        <v>0.0428</v>
      </c>
    </row>
    <row x14ac:dyDescent="0.25" r="73" customHeight="1" ht="18">
      <c r="A73" s="3" t="s">
        <v>80</v>
      </c>
      <c r="B73" s="4">
        <v>1.132891</v>
      </c>
      <c r="C73" s="4">
        <v>1.132906</v>
      </c>
      <c r="D73" s="14">
        <v>-0.0129</v>
      </c>
    </row>
    <row x14ac:dyDescent="0.25" r="74" customHeight="1" ht="18">
      <c r="A74" s="3" t="s">
        <v>81</v>
      </c>
      <c r="B74" s="4">
        <v>1.176742</v>
      </c>
      <c r="C74" s="4">
        <v>1.176733</v>
      </c>
      <c r="D74" s="14">
        <v>0.0076</v>
      </c>
    </row>
    <row x14ac:dyDescent="0.25" r="75" customHeight="1" ht="18">
      <c r="A75" s="3" t="s">
        <v>82</v>
      </c>
      <c r="B75" s="4">
        <v>1.119006</v>
      </c>
      <c r="C75" s="4">
        <v>1.117618</v>
      </c>
      <c r="D75" s="14">
        <v>1.2419</v>
      </c>
    </row>
    <row x14ac:dyDescent="0.25" r="76" customHeight="1" ht="18">
      <c r="A76" s="3" t="s">
        <v>83</v>
      </c>
      <c r="B76" s="4">
        <v>1.242332</v>
      </c>
      <c r="C76" s="4">
        <v>1.239405</v>
      </c>
      <c r="D76" s="14">
        <v>2.3618</v>
      </c>
    </row>
    <row x14ac:dyDescent="0.25" r="77" customHeight="1" ht="18">
      <c r="A77" s="3" t="s">
        <v>84</v>
      </c>
      <c r="B77" s="4">
        <v>1.073432</v>
      </c>
      <c r="C77" s="4">
        <v>1.072812</v>
      </c>
      <c r="D77" s="14">
        <v>0.5782</v>
      </c>
    </row>
    <row x14ac:dyDescent="0.25" r="78" customHeight="1" ht="18">
      <c r="A78" s="3" t="s">
        <v>85</v>
      </c>
      <c r="B78" s="4">
        <v>1.201254</v>
      </c>
      <c r="C78" s="4">
        <v>1.199065</v>
      </c>
      <c r="D78" s="14">
        <v>1.8255</v>
      </c>
    </row>
    <row x14ac:dyDescent="0.25" r="79" customHeight="1" ht="18">
      <c r="A79" s="3" t="s">
        <v>86</v>
      </c>
      <c r="B79" s="4">
        <v>1.333714</v>
      </c>
      <c r="C79" s="4">
        <v>1.329798</v>
      </c>
      <c r="D79" s="14">
        <v>2.9446</v>
      </c>
    </row>
    <row x14ac:dyDescent="0.25" r="80" customHeight="1" ht="18">
      <c r="A80" s="3" t="s">
        <v>87</v>
      </c>
      <c r="B80" s="4">
        <v>1.148341</v>
      </c>
      <c r="C80" s="4">
        <v>1.147087</v>
      </c>
      <c r="D80" s="14">
        <v>1.0936</v>
      </c>
    </row>
    <row x14ac:dyDescent="0.25" r="81" customHeight="1" ht="18">
      <c r="A81" s="3" t="s">
        <v>88</v>
      </c>
      <c r="B81" s="4">
        <v>1.285183</v>
      </c>
      <c r="C81" s="4">
        <v>1.282152</v>
      </c>
      <c r="D81" s="14">
        <v>2.3643</v>
      </c>
    </row>
    <row x14ac:dyDescent="0.25" r="82" customHeight="1" ht="18">
      <c r="A82" s="3" t="s">
        <v>89</v>
      </c>
      <c r="B82" s="4">
        <v>1.426992</v>
      </c>
      <c r="C82" s="4">
        <v>1.422014</v>
      </c>
      <c r="D82" s="14">
        <v>3.5005</v>
      </c>
    </row>
    <row x14ac:dyDescent="0.25" r="83" customHeight="1" ht="18">
      <c r="A83" s="3" t="s">
        <v>90</v>
      </c>
      <c r="B83" s="4">
        <v>1.051178</v>
      </c>
      <c r="C83" s="4">
        <v>1.051111</v>
      </c>
      <c r="D83" s="14">
        <v>0.0641</v>
      </c>
    </row>
    <row x14ac:dyDescent="0.25" r="84" customHeight="1" ht="18">
      <c r="A84" s="3" t="s">
        <v>91</v>
      </c>
      <c r="B84" s="4">
        <v>1.103068</v>
      </c>
      <c r="C84" s="4">
        <v>1.102921</v>
      </c>
      <c r="D84" s="14">
        <v>0.1329</v>
      </c>
    </row>
    <row x14ac:dyDescent="0.25" r="85" customHeight="1" ht="18">
      <c r="A85" s="3" t="s">
        <v>92</v>
      </c>
      <c r="B85" s="4">
        <v>1.209732</v>
      </c>
      <c r="C85" s="4">
        <v>1.209388</v>
      </c>
      <c r="D85" s="14">
        <v>0.2843</v>
      </c>
    </row>
    <row x14ac:dyDescent="0.25" r="86" customHeight="1" ht="18">
      <c r="A86" s="3" t="s">
        <v>93</v>
      </c>
      <c r="B86" s="4">
        <v>1.294787</v>
      </c>
      <c r="C86" s="4">
        <v>1.294271</v>
      </c>
      <c r="D86" s="14">
        <v>0.3989</v>
      </c>
    </row>
    <row x14ac:dyDescent="0.25" r="87" customHeight="1" ht="18">
      <c r="A87" s="3" t="s">
        <v>94</v>
      </c>
      <c r="B87" s="4">
        <v>1.180636</v>
      </c>
      <c r="C87" s="4">
        <v>1.180313</v>
      </c>
      <c r="D87" s="14">
        <v>0.2733</v>
      </c>
    </row>
    <row x14ac:dyDescent="0.25" r="88" customHeight="1" ht="18">
      <c r="A88" s="3" t="s">
        <v>95</v>
      </c>
      <c r="B88" s="4">
        <v>1.125069</v>
      </c>
      <c r="C88" s="4">
        <v>1.124858</v>
      </c>
      <c r="D88" s="14">
        <v>0.1878</v>
      </c>
    </row>
    <row x14ac:dyDescent="0.25" r="89" customHeight="1" ht="18">
      <c r="A89" s="3" t="s">
        <v>96</v>
      </c>
      <c r="B89" s="4">
        <v>1.070299</v>
      </c>
      <c r="C89" s="4">
        <v>1.070152</v>
      </c>
      <c r="D89" s="14">
        <v>0.1377</v>
      </c>
    </row>
    <row x14ac:dyDescent="0.25" r="90" customHeight="1" ht="18">
      <c r="A90" s="3" t="s">
        <v>97</v>
      </c>
      <c r="B90" s="4">
        <v>1.141928</v>
      </c>
      <c r="C90" s="4">
        <v>1.141622</v>
      </c>
      <c r="D90" s="14">
        <v>0.2678</v>
      </c>
    </row>
    <row x14ac:dyDescent="0.25" r="91" customHeight="1" ht="18">
      <c r="A91" s="3" t="s">
        <v>98</v>
      </c>
      <c r="B91" s="4">
        <v>1.200382</v>
      </c>
      <c r="C91" s="4">
        <v>1.199992</v>
      </c>
      <c r="D91" s="14">
        <v>0.3253</v>
      </c>
    </row>
    <row x14ac:dyDescent="0.25" r="92" customHeight="1" ht="18">
      <c r="A92" s="3" t="s">
        <v>99</v>
      </c>
      <c r="B92" s="4">
        <v>1.259651</v>
      </c>
      <c r="C92" s="4">
        <v>1.259161</v>
      </c>
      <c r="D92" s="14">
        <v>0.389</v>
      </c>
    </row>
    <row x14ac:dyDescent="0.25" r="93" customHeight="1" ht="18">
      <c r="A93" s="3" t="s">
        <v>100</v>
      </c>
      <c r="B93" s="4">
        <v>1.381482</v>
      </c>
      <c r="C93" s="4">
        <v>1.380751</v>
      </c>
      <c r="D93" s="14">
        <v>0.5297</v>
      </c>
    </row>
    <row x14ac:dyDescent="0.25" r="94" customHeight="1" ht="18">
      <c r="A94" s="3" t="s">
        <v>101</v>
      </c>
      <c r="B94" s="4">
        <v>1.118851</v>
      </c>
      <c r="C94" s="4">
        <v>1.118966</v>
      </c>
      <c r="D94" s="14">
        <v>-0.1026</v>
      </c>
    </row>
    <row x14ac:dyDescent="0.25" r="95" customHeight="1" ht="18">
      <c r="A95" s="3" t="s">
        <v>102</v>
      </c>
      <c r="B95" s="4">
        <v>1.241995</v>
      </c>
      <c r="C95" s="4">
        <v>1.242244</v>
      </c>
      <c r="D95" s="14">
        <v>-0.2008</v>
      </c>
    </row>
    <row x14ac:dyDescent="0.25" r="96" customHeight="1" ht="18">
      <c r="A96" s="3" t="s">
        <v>103</v>
      </c>
      <c r="B96" s="4">
        <v>1.345347</v>
      </c>
      <c r="C96" s="4">
        <v>1.345676</v>
      </c>
      <c r="D96" s="14">
        <v>-0.2445</v>
      </c>
    </row>
    <row x14ac:dyDescent="0.25" r="97" customHeight="1" ht="18">
      <c r="A97" s="3" t="s">
        <v>104</v>
      </c>
      <c r="B97" s="4">
        <v>1.21189</v>
      </c>
      <c r="C97" s="4">
        <v>1.21208</v>
      </c>
      <c r="D97" s="14">
        <v>-0.1565</v>
      </c>
    </row>
    <row x14ac:dyDescent="0.25" r="98" customHeight="1" ht="18">
      <c r="A98" s="3" t="s">
        <v>105</v>
      </c>
      <c r="B98" s="4">
        <v>1.083134</v>
      </c>
      <c r="C98" s="4">
        <v>1.083161</v>
      </c>
      <c r="D98" s="14">
        <v>-0.0253</v>
      </c>
    </row>
    <row x14ac:dyDescent="0.25" r="99" customHeight="1" ht="18">
      <c r="A99" s="3" t="s">
        <v>106</v>
      </c>
      <c r="B99" s="4">
        <v>1.125599</v>
      </c>
      <c r="C99" s="4">
        <v>1.125674</v>
      </c>
      <c r="D99" s="14">
        <v>-0.0668</v>
      </c>
    </row>
    <row x14ac:dyDescent="0.25" r="100" customHeight="1" ht="18">
      <c r="A100" s="3" t="s">
        <v>107</v>
      </c>
      <c r="B100" s="4">
        <v>1.259472</v>
      </c>
      <c r="C100" s="4">
        <v>1.259681</v>
      </c>
      <c r="D100" s="14">
        <v>-0.166</v>
      </c>
    </row>
    <row x14ac:dyDescent="0.25" r="101" customHeight="1" ht="18">
      <c r="A101" s="3" t="s">
        <v>108</v>
      </c>
      <c r="B101" s="4">
        <v>1.398149</v>
      </c>
      <c r="C101" s="4">
        <v>1.398553</v>
      </c>
      <c r="D101" s="14">
        <v>-0.2888</v>
      </c>
    </row>
    <row x14ac:dyDescent="0.25" r="102" customHeight="1" ht="18">
      <c r="A102" s="3" t="s">
        <v>109</v>
      </c>
      <c r="B102" s="4">
        <v>1.451488</v>
      </c>
      <c r="C102" s="4">
        <v>1.451934</v>
      </c>
      <c r="D102" s="14">
        <v>-0.307</v>
      </c>
    </row>
    <row x14ac:dyDescent="0.25" r="103" customHeight="1" ht="18">
      <c r="A103" s="3" t="s">
        <v>110</v>
      </c>
      <c r="B103" s="4">
        <v>1.30746</v>
      </c>
      <c r="C103" s="4">
        <v>1.307736</v>
      </c>
      <c r="D103" s="14">
        <v>-0.2108</v>
      </c>
    </row>
    <row x14ac:dyDescent="0.25" r="104" customHeight="1" ht="18">
      <c r="A104" s="3" t="s">
        <v>111</v>
      </c>
      <c r="B104" s="4">
        <v>1.168468</v>
      </c>
      <c r="C104" s="4">
        <v>1.168591</v>
      </c>
      <c r="D104" s="14">
        <v>-0.1054</v>
      </c>
    </row>
    <row x14ac:dyDescent="0.25" r="105" customHeight="1" ht="18">
      <c r="A105" s="3" t="s">
        <v>112</v>
      </c>
      <c r="B105" s="4">
        <v>1.256128</v>
      </c>
      <c r="C105" s="4">
        <v>1.256258</v>
      </c>
      <c r="D105" s="14">
        <v>-0.1031</v>
      </c>
    </row>
    <row x14ac:dyDescent="0.25" r="106" customHeight="1" ht="18">
      <c r="A106" s="3" t="s">
        <v>113</v>
      </c>
      <c r="B106" s="4">
        <v>1.405586</v>
      </c>
      <c r="C106" s="4">
        <v>1.405898</v>
      </c>
      <c r="D106" s="14">
        <v>-0.222</v>
      </c>
    </row>
    <row x14ac:dyDescent="0.25" r="107" customHeight="1" ht="18">
      <c r="A107" s="3" t="s">
        <v>114</v>
      </c>
      <c r="B107" s="4">
        <v>1.560469</v>
      </c>
      <c r="C107" s="4">
        <v>1.560978</v>
      </c>
      <c r="D107" s="14">
        <v>-0.326</v>
      </c>
    </row>
    <row x14ac:dyDescent="0.25" r="108" customHeight="1" ht="18">
      <c r="A108" s="3" t="s">
        <v>115</v>
      </c>
      <c r="B108" s="4">
        <v>1.67211</v>
      </c>
      <c r="C108" s="4">
        <v>1.672707</v>
      </c>
      <c r="D108" s="14">
        <v>-0.357</v>
      </c>
    </row>
    <row x14ac:dyDescent="0.25" r="109" customHeight="1" ht="18">
      <c r="A109" s="3" t="s">
        <v>116</v>
      </c>
      <c r="B109" s="4">
        <v>1.506109</v>
      </c>
      <c r="C109" s="4">
        <v>1.506476</v>
      </c>
      <c r="D109" s="14">
        <v>-0.2436</v>
      </c>
    </row>
    <row x14ac:dyDescent="0.25" r="110" customHeight="1" ht="18">
      <c r="A110" s="3" t="s">
        <v>117</v>
      </c>
      <c r="B110" s="4">
        <v>1.345905</v>
      </c>
      <c r="C110" s="4">
        <v>1.346079</v>
      </c>
      <c r="D110" s="14">
        <v>-0.1294</v>
      </c>
    </row>
    <row x14ac:dyDescent="0.25" r="111" customHeight="1" ht="18">
      <c r="A111" s="3" t="s">
        <v>118</v>
      </c>
      <c r="B111" s="4">
        <v>1.051247</v>
      </c>
      <c r="C111" s="4">
        <v>1.051181</v>
      </c>
      <c r="D111" s="14">
        <v>0.0629</v>
      </c>
    </row>
    <row x14ac:dyDescent="0.25" r="112" customHeight="1" ht="18">
      <c r="A112" s="3" t="s">
        <v>119</v>
      </c>
      <c r="B112" s="4">
        <v>1.103171</v>
      </c>
      <c r="C112" s="4">
        <v>1.103065</v>
      </c>
      <c r="D112" s="14">
        <v>0.0964</v>
      </c>
    </row>
    <row x14ac:dyDescent="0.25" r="113" customHeight="1" ht="18">
      <c r="A113" s="3" t="s">
        <v>120</v>
      </c>
      <c r="B113" s="4">
        <v>1.209936</v>
      </c>
      <c r="C113" s="4">
        <v>1.209686</v>
      </c>
      <c r="D113" s="14">
        <v>0.2066</v>
      </c>
    </row>
    <row x14ac:dyDescent="0.25" r="114" customHeight="1" ht="18">
      <c r="A114" s="3" t="s">
        <v>121</v>
      </c>
      <c r="B114" s="4">
        <v>1.307922</v>
      </c>
      <c r="C114" s="4">
        <v>1.307607</v>
      </c>
      <c r="D114" s="14">
        <v>0.2411</v>
      </c>
    </row>
    <row x14ac:dyDescent="0.25" r="115" customHeight="1" ht="18">
      <c r="A115" s="3" t="s">
        <v>122</v>
      </c>
      <c r="B115" s="4">
        <v>1.192547</v>
      </c>
      <c r="C115" s="4">
        <v>1.192341</v>
      </c>
      <c r="D115" s="14">
        <v>0.173</v>
      </c>
    </row>
    <row x14ac:dyDescent="0.25" r="116" customHeight="1" ht="18">
      <c r="A116" s="3" t="s">
        <v>123</v>
      </c>
      <c r="B116" s="4">
        <v>1.136357</v>
      </c>
      <c r="C116" s="4">
        <v>1.136251</v>
      </c>
      <c r="D116" s="14">
        <v>0.0936</v>
      </c>
    </row>
    <row x14ac:dyDescent="0.25" r="117" customHeight="1" ht="18">
      <c r="A117" s="3" t="s">
        <v>124</v>
      </c>
      <c r="B117" s="4">
        <v>1.080994</v>
      </c>
      <c r="C117" s="4">
        <v>1.080921</v>
      </c>
      <c r="D117" s="14">
        <v>0.0679</v>
      </c>
    </row>
    <row x14ac:dyDescent="0.25" r="118" customHeight="1" ht="18">
      <c r="A118" s="3" t="s">
        <v>125</v>
      </c>
      <c r="B118" s="4">
        <v>1.12235</v>
      </c>
      <c r="C118" s="4">
        <v>1.122259</v>
      </c>
      <c r="D118" s="14">
        <v>0.0812</v>
      </c>
    </row>
    <row x14ac:dyDescent="0.25" r="119" customHeight="1" ht="18">
      <c r="A119" s="3" t="s">
        <v>126</v>
      </c>
      <c r="B119" s="4">
        <v>1.179891</v>
      </c>
      <c r="C119" s="4">
        <v>1.179709</v>
      </c>
      <c r="D119" s="14">
        <v>0.1546</v>
      </c>
    </row>
    <row x14ac:dyDescent="0.25" r="120" customHeight="1" ht="18">
      <c r="A120" s="3" t="s">
        <v>127</v>
      </c>
      <c r="B120" s="4">
        <v>1.238177</v>
      </c>
      <c r="C120" s="4">
        <v>1.237947</v>
      </c>
      <c r="D120" s="14">
        <v>0.1854</v>
      </c>
    </row>
    <row x14ac:dyDescent="0.25" r="121" customHeight="1" ht="18">
      <c r="A121" s="3" t="s">
        <v>128</v>
      </c>
      <c r="B121" s="4">
        <v>1.357986</v>
      </c>
      <c r="C121" s="4">
        <v>1.35763</v>
      </c>
      <c r="D121" s="14">
        <v>0.2624</v>
      </c>
    </row>
    <row x14ac:dyDescent="0.25" r="122" customHeight="1" ht="18">
      <c r="A122" s="3" t="s">
        <v>129</v>
      </c>
      <c r="B122" s="4">
        <v>1.408522</v>
      </c>
      <c r="C122" s="4">
        <v>1.408107</v>
      </c>
      <c r="D122" s="14">
        <v>0.295</v>
      </c>
    </row>
    <row x14ac:dyDescent="0.25" r="123" customHeight="1" ht="18">
      <c r="A123" s="3" t="s">
        <v>130</v>
      </c>
      <c r="B123" s="4">
        <v>1.284231</v>
      </c>
      <c r="C123" s="4">
        <v>1.283968</v>
      </c>
      <c r="D123" s="14">
        <v>0.2049</v>
      </c>
    </row>
    <row x14ac:dyDescent="0.25" r="124" customHeight="1" ht="18">
      <c r="A124" s="3" t="s">
        <v>131</v>
      </c>
      <c r="B124" s="4">
        <v>1.223771</v>
      </c>
      <c r="C124" s="4">
        <v>1.223561</v>
      </c>
      <c r="D124" s="14">
        <v>0.172</v>
      </c>
    </row>
    <row x14ac:dyDescent="0.25" r="125" customHeight="1" ht="18">
      <c r="A125" s="3" t="s">
        <v>132</v>
      </c>
      <c r="B125" s="4">
        <v>1.164083</v>
      </c>
      <c r="C125" s="4">
        <v>1.163972</v>
      </c>
      <c r="D125" s="14">
        <v>0.0954</v>
      </c>
    </row>
    <row x14ac:dyDescent="0.25" r="126" customHeight="1" ht="18">
      <c r="A126" s="3" t="s">
        <v>133</v>
      </c>
      <c r="B126" s="4">
        <v>1.249321</v>
      </c>
      <c r="C126" s="4">
        <v>1.249126</v>
      </c>
      <c r="D126" s="14">
        <v>0.1558</v>
      </c>
    </row>
    <row x14ac:dyDescent="0.25" r="127" customHeight="1" ht="18">
      <c r="A127" s="3" t="s">
        <v>134</v>
      </c>
      <c r="B127" s="4">
        <v>1.313397</v>
      </c>
      <c r="C127" s="4">
        <v>1.313082</v>
      </c>
      <c r="D127" s="14">
        <v>0.2401</v>
      </c>
    </row>
    <row x14ac:dyDescent="0.25" r="128" customHeight="1" ht="18">
      <c r="A128" s="3" t="s">
        <v>135</v>
      </c>
      <c r="B128" s="4">
        <v>1.378308</v>
      </c>
      <c r="C128" s="4">
        <v>1.377916</v>
      </c>
      <c r="D128" s="14">
        <v>0.2845</v>
      </c>
    </row>
    <row x14ac:dyDescent="0.25" r="129" customHeight="1" ht="18">
      <c r="A129" s="3" t="s">
        <v>136</v>
      </c>
      <c r="B129" s="4">
        <v>1.511723</v>
      </c>
      <c r="C129" s="4">
        <v>1.511153</v>
      </c>
      <c r="D129" s="14">
        <v>0.3775</v>
      </c>
    </row>
    <row x14ac:dyDescent="0.25" r="130" customHeight="1" ht="18">
      <c r="A130" s="3" t="s">
        <v>137</v>
      </c>
      <c r="B130" s="4">
        <v>1.617339</v>
      </c>
      <c r="C130" s="4">
        <v>1.616653</v>
      </c>
      <c r="D130" s="14">
        <v>0.4243</v>
      </c>
    </row>
    <row x14ac:dyDescent="0.25" r="131" customHeight="1" ht="18">
      <c r="A131" s="3" t="s">
        <v>138</v>
      </c>
      <c r="B131" s="4">
        <v>1.474615</v>
      </c>
      <c r="C131" s="4">
        <v>1.474101</v>
      </c>
      <c r="D131" s="14">
        <v>0.3484</v>
      </c>
    </row>
    <row x14ac:dyDescent="0.25" r="132" customHeight="1" ht="18">
      <c r="A132" s="3" t="s">
        <v>139</v>
      </c>
      <c r="B132" s="4">
        <v>1.405105</v>
      </c>
      <c r="C132" s="4">
        <v>1.404735</v>
      </c>
      <c r="D132" s="14">
        <v>0.2637</v>
      </c>
    </row>
    <row x14ac:dyDescent="0.25" r="133" customHeight="1" ht="18">
      <c r="A133" s="3" t="s">
        <v>140</v>
      </c>
      <c r="B133" s="4">
        <v>1.3366</v>
      </c>
      <c r="C133" s="4">
        <v>1.336308</v>
      </c>
      <c r="D133" s="14">
        <v>0.2183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32"/>
  <sheetViews>
    <sheetView workbookViewId="0" tabSelected="1"/>
  </sheetViews>
  <sheetFormatPr defaultRowHeight="15" x14ac:dyDescent="0.25"/>
  <cols>
    <col min="1" max="1" style="6" width="12.43357142857143" customWidth="1" bestFit="1"/>
    <col min="2" max="2" style="6" width="12.43357142857143" customWidth="1" bestFit="1"/>
    <col min="3" max="3" style="7" width="12.43357142857143" customWidth="1" bestFit="1"/>
    <col min="4" max="4" style="7" width="12.43357142857143" customWidth="1" bestFit="1"/>
    <col min="5" max="5" style="7" width="12.43357142857143" customWidth="1" bestFit="1"/>
    <col min="6" max="6" style="7" width="12.43357142857143" customWidth="1" bestFit="1"/>
    <col min="7" max="7" style="7" width="12.43357142857143" customWidth="1" bestFit="1"/>
    <col min="8" max="8" style="7" width="12.43357142857143" customWidth="1" bestFit="1"/>
    <col min="9" max="9" style="7" width="12.43357142857143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x14ac:dyDescent="0.25" r="2" customHeight="1" ht="19.5">
      <c r="A2" s="3" t="s">
        <v>9</v>
      </c>
      <c r="B2" s="3" t="s">
        <v>10</v>
      </c>
      <c r="C2" s="4">
        <v>1.835706338235856</v>
      </c>
      <c r="D2" s="4">
        <v>4.52522599053836</v>
      </c>
      <c r="E2" s="4">
        <v>1.000000001807337</v>
      </c>
      <c r="F2" s="4">
        <v>0.9999999982817396</v>
      </c>
      <c r="G2" s="4">
        <v>2.587616458785578</v>
      </c>
      <c r="H2" s="4">
        <v>1.000000000039878</v>
      </c>
      <c r="I2" s="4">
        <v>21.49529378409767</v>
      </c>
    </row>
    <row x14ac:dyDescent="0.25" r="3" customHeight="1" ht="19.5">
      <c r="A3" s="3" t="s">
        <v>11</v>
      </c>
      <c r="B3" s="3" t="s">
        <v>10</v>
      </c>
      <c r="C3" s="4">
        <v>2.820615612399602</v>
      </c>
      <c r="D3" s="4">
        <v>7.890525490765238</v>
      </c>
      <c r="E3" s="4">
        <v>1.00000000582272</v>
      </c>
      <c r="F3" s="4">
        <v>0.9999999950260318</v>
      </c>
      <c r="G3" s="4">
        <v>2.881128596767286</v>
      </c>
      <c r="H3" s="4">
        <v>1.000000000121417</v>
      </c>
      <c r="I3" s="4">
        <v>64.12279971033061</v>
      </c>
    </row>
    <row x14ac:dyDescent="0.25" r="4" customHeight="1" ht="19.5">
      <c r="A4" s="3" t="s">
        <v>12</v>
      </c>
      <c r="B4" s="3" t="s">
        <v>10</v>
      </c>
      <c r="C4" s="4">
        <v>1.076388169032206</v>
      </c>
      <c r="D4" s="4">
        <v>19.0037206672207</v>
      </c>
      <c r="E4" s="4">
        <v>1.000000138141583</v>
      </c>
      <c r="F4" s="4">
        <v>0.9999999335635795</v>
      </c>
      <c r="G4" s="4">
        <v>1.860856568423372</v>
      </c>
      <c r="H4" s="4">
        <v>1.000000001917076</v>
      </c>
      <c r="I4" s="4">
        <v>38.06453120951972</v>
      </c>
    </row>
    <row x14ac:dyDescent="0.25" r="5" customHeight="1" ht="19.5">
      <c r="A5" s="3" t="s">
        <v>13</v>
      </c>
      <c r="B5" s="3" t="s">
        <v>10</v>
      </c>
      <c r="C5" s="4">
        <v>1.154287532003949</v>
      </c>
      <c r="D5" s="4">
        <v>67.81639898922958</v>
      </c>
      <c r="E5" s="4">
        <v>1.000001825703099</v>
      </c>
      <c r="F5" s="4">
        <v>0.9999993743555327</v>
      </c>
      <c r="G5" s="4">
        <v>2.642312189465803</v>
      </c>
      <c r="H5" s="4">
        <v>1.000000021125924</v>
      </c>
      <c r="I5" s="4">
        <v>206.8394567914876</v>
      </c>
    </row>
    <row x14ac:dyDescent="0.25" r="6" customHeight="1" ht="19.5">
      <c r="A6" s="3" t="s">
        <v>14</v>
      </c>
      <c r="B6" s="3" t="s">
        <v>10</v>
      </c>
      <c r="C6" s="4">
        <v>1.042247400279863</v>
      </c>
      <c r="D6" s="4">
        <v>8.969002370159822</v>
      </c>
      <c r="E6" s="4">
        <v>1.000012237746335</v>
      </c>
      <c r="F6" s="4">
        <v>0.9999965347398935</v>
      </c>
      <c r="G6" s="4">
        <v>1.918632206276649</v>
      </c>
      <c r="H6" s="4">
        <v>1.000000127867424</v>
      </c>
      <c r="I6" s="4">
        <v>17.93537885810091</v>
      </c>
    </row>
    <row x14ac:dyDescent="0.25" r="7" customHeight="1" ht="19.5">
      <c r="A7" s="3" t="s">
        <v>15</v>
      </c>
      <c r="B7" s="3" t="s">
        <v>10</v>
      </c>
      <c r="C7" s="4">
        <v>1.084888064301569</v>
      </c>
      <c r="D7" s="4">
        <v>23.41367633577012</v>
      </c>
      <c r="E7" s="4">
        <v>1.00008616079074</v>
      </c>
      <c r="F7" s="4">
        <v>0.9999831359867077</v>
      </c>
      <c r="G7" s="4">
        <v>2.800915310438286</v>
      </c>
      <c r="H7" s="4">
        <v>1.000000752307393</v>
      </c>
      <c r="I7" s="4">
        <v>71.15164405343255</v>
      </c>
    </row>
    <row x14ac:dyDescent="0.25" r="8" customHeight="1" ht="19.5">
      <c r="A8" s="3" t="s">
        <v>16</v>
      </c>
      <c r="B8" s="3" t="s">
        <v>10</v>
      </c>
      <c r="C8" s="4">
        <v>1.08440937261332</v>
      </c>
      <c r="D8" s="4">
        <v>1.005874827327223</v>
      </c>
      <c r="E8" s="4">
        <v>1.00000000172599</v>
      </c>
      <c r="F8" s="4">
        <v>0.9999999991622125</v>
      </c>
      <c r="G8" s="4">
        <v>1.001487809636174</v>
      </c>
      <c r="H8" s="4">
        <v>1.000000000023779</v>
      </c>
      <c r="I8" s="4">
        <v>1.092402964555184</v>
      </c>
    </row>
    <row x14ac:dyDescent="0.25" r="9" customHeight="1" ht="19.5">
      <c r="A9" s="3" t="s">
        <v>17</v>
      </c>
      <c r="B9" s="3" t="s">
        <v>10</v>
      </c>
      <c r="C9" s="4">
        <v>1.1277977953438</v>
      </c>
      <c r="D9" s="4">
        <v>9.04381270712107</v>
      </c>
      <c r="E9" s="4">
        <v>1.000012448180678</v>
      </c>
      <c r="F9" s="4">
        <v>0.9999964865677613</v>
      </c>
      <c r="G9" s="4">
        <v>1.932448019364433</v>
      </c>
      <c r="H9" s="4">
        <v>1.000000130595287</v>
      </c>
      <c r="I9" s="4">
        <v>19.71036010044079</v>
      </c>
    </row>
    <row x14ac:dyDescent="0.25" r="10" customHeight="1" ht="19.5">
      <c r="A10" s="3" t="s">
        <v>18</v>
      </c>
      <c r="B10" s="3" t="s">
        <v>10</v>
      </c>
      <c r="C10" s="4">
        <v>1.171559646110802</v>
      </c>
      <c r="D10" s="4">
        <v>23.64758520065023</v>
      </c>
      <c r="E10" s="4">
        <v>1.000087912507645</v>
      </c>
      <c r="F10" s="4">
        <v>0.999982866202792</v>
      </c>
      <c r="G10" s="4">
        <v>2.812903719416361</v>
      </c>
      <c r="H10" s="4">
        <v>1.000000765967175</v>
      </c>
      <c r="I10" s="4">
        <v>77.93582554306474</v>
      </c>
    </row>
    <row x14ac:dyDescent="0.25" r="11" customHeight="1" ht="19.5">
      <c r="A11" s="3" t="s">
        <v>19</v>
      </c>
      <c r="B11" s="3" t="s">
        <v>10</v>
      </c>
      <c r="C11" s="4">
        <v>1.043136367603868</v>
      </c>
      <c r="D11" s="4">
        <v>1.02015100492872</v>
      </c>
      <c r="E11" s="4">
        <v>1.002268595689836</v>
      </c>
      <c r="F11" s="4">
        <v>0.9999713368546637</v>
      </c>
      <c r="G11" s="4">
        <v>2.055500215961552</v>
      </c>
      <c r="H11" s="4">
        <v>1.000004929336045</v>
      </c>
      <c r="I11" s="4">
        <v>2.192284384017084</v>
      </c>
    </row>
    <row x14ac:dyDescent="0.25" r="12" customHeight="1" ht="19.5">
      <c r="A12" s="3" t="s">
        <v>20</v>
      </c>
      <c r="B12" s="3" t="s">
        <v>10</v>
      </c>
      <c r="C12" s="4">
        <v>1.053873350567178</v>
      </c>
      <c r="D12" s="4">
        <v>1.109008124657777</v>
      </c>
      <c r="E12" s="4">
        <v>1.000000931158111</v>
      </c>
      <c r="F12" s="4">
        <v>0.9999998843339813</v>
      </c>
      <c r="G12" s="4">
        <v>2.068513154230242</v>
      </c>
      <c r="H12" s="4">
        <v>1.000000003689528</v>
      </c>
      <c r="I12" s="4">
        <v>2.417585227186315</v>
      </c>
    </row>
    <row x14ac:dyDescent="0.25" r="13" customHeight="1" ht="19.5">
      <c r="A13" s="3" t="s">
        <v>21</v>
      </c>
      <c r="B13" s="3" t="s">
        <v>10</v>
      </c>
      <c r="C13" s="4">
        <v>1.108680839407654</v>
      </c>
      <c r="D13" s="4">
        <v>1.232121117441923</v>
      </c>
      <c r="E13" s="4">
        <v>1.000002099893816</v>
      </c>
      <c r="F13" s="4">
        <v>0.9999997445395129</v>
      </c>
      <c r="G13" s="4">
        <v>1.070952279090259</v>
      </c>
      <c r="H13" s="4">
        <v>1.000000008234422</v>
      </c>
      <c r="I13" s="4">
        <v>1.462954661256723</v>
      </c>
    </row>
    <row x14ac:dyDescent="0.25" r="14" customHeight="1" ht="19.5">
      <c r="A14" s="3" t="s">
        <v>22</v>
      </c>
      <c r="B14" s="3" t="s">
        <v>10</v>
      </c>
      <c r="C14" s="4">
        <v>1.050632152465379</v>
      </c>
      <c r="D14" s="4">
        <v>1.071564638079498</v>
      </c>
      <c r="E14" s="4">
        <v>1.000006583140903</v>
      </c>
      <c r="F14" s="4">
        <v>0.9999992308071595</v>
      </c>
      <c r="G14" s="4">
        <v>1.028275192115591</v>
      </c>
      <c r="H14" s="4">
        <v>1.000000030225327</v>
      </c>
      <c r="I14" s="4">
        <v>1.157659811932365</v>
      </c>
    </row>
    <row x14ac:dyDescent="0.25" r="15" customHeight="1" ht="19.5">
      <c r="A15" s="3" t="s">
        <v>23</v>
      </c>
      <c r="B15" s="3" t="s">
        <v>10</v>
      </c>
      <c r="C15" s="4">
        <v>1.101874754132961</v>
      </c>
      <c r="D15" s="4">
        <v>1.140098774926517</v>
      </c>
      <c r="E15" s="4">
        <v>1.000013319771148</v>
      </c>
      <c r="F15" s="4">
        <v>0.9999984669428196</v>
      </c>
      <c r="G15" s="4">
        <v>1.054668996371897</v>
      </c>
      <c r="H15" s="4">
        <v>1.000000060700494</v>
      </c>
      <c r="I15" s="4">
        <v>1.324939465353615</v>
      </c>
    </row>
    <row x14ac:dyDescent="0.25" r="16" customHeight="1" ht="19.5">
      <c r="A16" s="3" t="s">
        <v>24</v>
      </c>
      <c r="B16" s="3" t="s">
        <v>10</v>
      </c>
      <c r="C16" s="4">
        <v>1.050267075642011</v>
      </c>
      <c r="D16" s="4">
        <v>1.093095788815689</v>
      </c>
      <c r="E16" s="4">
        <v>1.000008653990793</v>
      </c>
      <c r="F16" s="4">
        <v>0.9999989936450023</v>
      </c>
      <c r="G16" s="4">
        <v>1.036635828743034</v>
      </c>
      <c r="H16" s="4">
        <v>1.000000039639679</v>
      </c>
      <c r="I16" s="4">
        <v>1.190111155209454</v>
      </c>
    </row>
    <row x14ac:dyDescent="0.25" r="17" customHeight="1" ht="18">
      <c r="A17" s="3" t="s">
        <v>25</v>
      </c>
      <c r="B17" s="3" t="s">
        <v>10</v>
      </c>
      <c r="C17" s="4">
        <v>1.101720180917874</v>
      </c>
      <c r="D17" s="4">
        <v>1.172830131890001</v>
      </c>
      <c r="E17" s="4">
        <v>1.000016686437961</v>
      </c>
      <c r="F17" s="4">
        <v>0.9999980930368695</v>
      </c>
      <c r="G17" s="4">
        <v>1.067058746354465</v>
      </c>
      <c r="H17" s="4">
        <v>1.00000007577547</v>
      </c>
      <c r="I17" s="4">
        <v>1.37879976700571</v>
      </c>
    </row>
    <row x14ac:dyDescent="0.25" r="18" customHeight="1" ht="18">
      <c r="A18" s="3" t="s">
        <v>26</v>
      </c>
      <c r="B18" s="3" t="s">
        <v>10</v>
      </c>
      <c r="C18" s="4">
        <v>1.153767404689079</v>
      </c>
      <c r="D18" s="4">
        <v>1.249321049456884</v>
      </c>
      <c r="E18" s="4">
        <v>1.000024930645003</v>
      </c>
      <c r="F18" s="4">
        <v>0.9999971970909126</v>
      </c>
      <c r="G18" s="4">
        <v>1.095514696847885</v>
      </c>
      <c r="H18" s="4">
        <v>1.000000112296845</v>
      </c>
      <c r="I18" s="4">
        <v>1.579138382388133</v>
      </c>
    </row>
    <row x14ac:dyDescent="0.25" r="19" customHeight="1" ht="18">
      <c r="A19" s="3" t="s">
        <v>27</v>
      </c>
      <c r="B19" s="3" t="s">
        <v>10</v>
      </c>
      <c r="C19" s="4">
        <v>1.095435837525098</v>
      </c>
      <c r="D19" s="4">
        <v>1.123708662243642</v>
      </c>
      <c r="E19" s="4">
        <v>1.000064338327236</v>
      </c>
      <c r="F19" s="4">
        <v>0.9999940326069642</v>
      </c>
      <c r="G19" s="4">
        <v>2.117619546190555</v>
      </c>
      <c r="H19" s="4">
        <v>1.000000308487627</v>
      </c>
      <c r="I19" s="4">
        <v>2.606838304323176</v>
      </c>
    </row>
    <row x14ac:dyDescent="0.25" r="20" customHeight="1" ht="18">
      <c r="A20" s="3" t="s">
        <v>28</v>
      </c>
      <c r="B20" s="3" t="s">
        <v>10</v>
      </c>
      <c r="C20" s="4">
        <v>1.095638338824204</v>
      </c>
      <c r="D20" s="4">
        <v>1.131862858807828</v>
      </c>
      <c r="E20" s="4">
        <v>1.00006884631346</v>
      </c>
      <c r="F20" s="4">
        <v>0.9999936286030632</v>
      </c>
      <c r="G20" s="4">
        <v>1.062624983240539</v>
      </c>
      <c r="H20" s="4">
        <v>1.000000329741691</v>
      </c>
      <c r="I20" s="4">
        <v>1.317857118877479</v>
      </c>
    </row>
    <row x14ac:dyDescent="0.25" r="21" customHeight="1" ht="18">
      <c r="A21" s="3" t="s">
        <v>29</v>
      </c>
      <c r="B21" s="3" t="s">
        <v>10</v>
      </c>
      <c r="C21" s="4">
        <v>1.144332891173812</v>
      </c>
      <c r="D21" s="4">
        <v>1.197121321080302</v>
      </c>
      <c r="E21" s="4">
        <v>1.000106115214233</v>
      </c>
      <c r="F21" s="4">
        <v>0.9999903504050552</v>
      </c>
      <c r="G21" s="4">
        <v>2.185831758954255</v>
      </c>
      <c r="H21" s="4">
        <v>1.000000503848221</v>
      </c>
      <c r="I21" s="4">
        <v>2.994672877585576</v>
      </c>
    </row>
    <row x14ac:dyDescent="0.25" r="22" customHeight="1" ht="18">
      <c r="A22" s="3" t="s">
        <v>30</v>
      </c>
      <c r="B22" s="3" t="s">
        <v>10</v>
      </c>
      <c r="C22" s="4">
        <v>1.193728198709939</v>
      </c>
      <c r="D22" s="4">
        <v>1.267171683160438</v>
      </c>
      <c r="E22" s="4">
        <v>1.000148478868144</v>
      </c>
      <c r="F22" s="4">
        <v>0.999986746025252</v>
      </c>
      <c r="G22" s="4">
        <v>1.124988739671446</v>
      </c>
      <c r="H22" s="4">
        <v>1.000000698547507</v>
      </c>
      <c r="I22" s="4">
        <v>1.701955160086531</v>
      </c>
    </row>
    <row x14ac:dyDescent="0.25" r="23" customHeight="1" ht="18">
      <c r="A23" s="3" t="s">
        <v>31</v>
      </c>
      <c r="B23" s="3" t="s">
        <v>10</v>
      </c>
      <c r="C23" s="4">
        <v>1.023534974330622</v>
      </c>
      <c r="D23" s="4">
        <v>1.01458577256845</v>
      </c>
      <c r="E23" s="4">
        <v>1.000660312209828</v>
      </c>
      <c r="F23" s="4">
        <v>0.9999895525118494</v>
      </c>
      <c r="G23" s="4">
        <v>2.030761204286057</v>
      </c>
      <c r="H23" s="4">
        <v>1.000001331328507</v>
      </c>
      <c r="I23" s="4">
        <v>2.11024572599517</v>
      </c>
    </row>
    <row x14ac:dyDescent="0.25" r="24" customHeight="1" ht="18">
      <c r="A24" s="3" t="s">
        <v>32</v>
      </c>
      <c r="B24" s="3" t="s">
        <v>10</v>
      </c>
      <c r="C24" s="4">
        <v>1.047180755283691</v>
      </c>
      <c r="D24" s="4">
        <v>1.028572060038682</v>
      </c>
      <c r="E24" s="4">
        <v>1.001303354138245</v>
      </c>
      <c r="F24" s="4">
        <v>0.9999795788645786</v>
      </c>
      <c r="G24" s="4">
        <v>2.060502422595321</v>
      </c>
      <c r="H24" s="4">
        <v>1.000002615174358</v>
      </c>
      <c r="I24" s="4">
        <v>2.222221999281962</v>
      </c>
    </row>
    <row x14ac:dyDescent="0.25" r="25" customHeight="1" ht="18">
      <c r="A25" s="3" t="s">
        <v>33</v>
      </c>
      <c r="B25" s="3" t="s">
        <v>10</v>
      </c>
      <c r="C25" s="4">
        <v>1.095163678771315</v>
      </c>
      <c r="D25" s="4">
        <v>1.055082728543782</v>
      </c>
      <c r="E25" s="4">
        <v>1.002548868153083</v>
      </c>
      <c r="F25" s="4">
        <v>0.99996079521578</v>
      </c>
      <c r="G25" s="4">
        <v>2.117544663517954</v>
      </c>
      <c r="H25" s="4">
        <v>1.000005067674659</v>
      </c>
      <c r="I25" s="4">
        <v>2.452950871772033</v>
      </c>
    </row>
    <row x14ac:dyDescent="0.25" r="26" customHeight="1" ht="18">
      <c r="A26" s="3" t="s">
        <v>34</v>
      </c>
      <c r="B26" s="3" t="s">
        <v>10</v>
      </c>
      <c r="C26" s="4">
        <v>1.047251737253483</v>
      </c>
      <c r="D26" s="4">
        <v>1.029499886118203</v>
      </c>
      <c r="E26" s="4">
        <v>1.001346355052942</v>
      </c>
      <c r="F26" s="4">
        <v>0.9999789187815088</v>
      </c>
      <c r="G26" s="4">
        <v>1.031241973501618</v>
      </c>
      <c r="H26" s="4">
        <v>1.000002700589976</v>
      </c>
      <c r="I26" s="4">
        <v>1.113305391580937</v>
      </c>
    </row>
    <row x14ac:dyDescent="0.25" r="27" customHeight="1" ht="18">
      <c r="A27" s="3" t="s">
        <v>35</v>
      </c>
      <c r="B27" s="3" t="s">
        <v>10</v>
      </c>
      <c r="C27" s="4">
        <v>1.071077388057191</v>
      </c>
      <c r="D27" s="4">
        <v>1.043804262452489</v>
      </c>
      <c r="E27" s="4">
        <v>1.002014712968602</v>
      </c>
      <c r="F27" s="4">
        <v>0.9999687668367413</v>
      </c>
      <c r="G27" s="4">
        <v>2.093169112901379</v>
      </c>
      <c r="H27" s="4">
        <v>1.000004021300466</v>
      </c>
      <c r="I27" s="4">
        <v>2.344803829738002</v>
      </c>
    </row>
    <row x14ac:dyDescent="0.25" r="28" customHeight="1" ht="18">
      <c r="A28" s="3" t="s">
        <v>36</v>
      </c>
      <c r="B28" s="3" t="s">
        <v>10</v>
      </c>
      <c r="C28" s="4">
        <v>1.119417183122857</v>
      </c>
      <c r="D28" s="4">
        <v>1.070926630560668</v>
      </c>
      <c r="E28" s="4">
        <v>1.00330997880892</v>
      </c>
      <c r="F28" s="4">
        <v>0.9999496460789642</v>
      </c>
      <c r="G28" s="4">
        <v>2.152061154399183</v>
      </c>
      <c r="H28" s="4">
        <v>1.000006544996901</v>
      </c>
      <c r="I28" s="4">
        <v>2.588346418263186</v>
      </c>
    </row>
    <row x14ac:dyDescent="0.25" r="29" customHeight="1" ht="18">
      <c r="A29" s="3" t="s">
        <v>37</v>
      </c>
      <c r="B29" s="3" t="s">
        <v>10</v>
      </c>
      <c r="C29" s="4">
        <v>1.095081030607989</v>
      </c>
      <c r="D29" s="4">
        <v>1.058416915842944</v>
      </c>
      <c r="E29" s="4">
        <v>1.002707992904939</v>
      </c>
      <c r="F29" s="4">
        <v>0.9999584441896922</v>
      </c>
      <c r="G29" s="4">
        <v>1.06239079721357</v>
      </c>
      <c r="H29" s="4">
        <v>1.000005377849658</v>
      </c>
      <c r="I29" s="4">
        <v>1.234656345672506</v>
      </c>
    </row>
    <row x14ac:dyDescent="0.25" r="30" customHeight="1" ht="18">
      <c r="A30" s="3" t="s">
        <v>38</v>
      </c>
      <c r="B30" s="3" t="s">
        <v>10</v>
      </c>
      <c r="C30" s="4">
        <v>1.14377402926754</v>
      </c>
      <c r="D30" s="4">
        <v>1.086132446358447</v>
      </c>
      <c r="E30" s="4">
        <v>1.004052275928052</v>
      </c>
      <c r="F30" s="4">
        <v>0.9999390006554446</v>
      </c>
      <c r="G30" s="4">
        <v>2.185492641319737</v>
      </c>
      <c r="H30" s="4">
        <v>1.000007970794912</v>
      </c>
      <c r="I30" s="4">
        <v>2.725873273263947</v>
      </c>
    </row>
    <row x14ac:dyDescent="0.25" r="31" customHeight="1" ht="18">
      <c r="A31" s="3" t="s">
        <v>39</v>
      </c>
      <c r="B31" s="3" t="s">
        <v>10</v>
      </c>
      <c r="C31" s="4">
        <v>1.193168085491008</v>
      </c>
      <c r="D31" s="4">
        <v>1.114990208262342</v>
      </c>
      <c r="E31" s="4">
        <v>1.005493079267448</v>
      </c>
      <c r="F31" s="4">
        <v>0.9999189467182902</v>
      </c>
      <c r="G31" s="4">
        <v>1.124888450009405</v>
      </c>
      <c r="H31" s="4">
        <v>1.000010697639648</v>
      </c>
      <c r="I31" s="4">
        <v>1.504633298296682</v>
      </c>
    </row>
    <row x14ac:dyDescent="0.25" r="32" customHeight="1" ht="18">
      <c r="A32" s="3" t="s">
        <v>40</v>
      </c>
      <c r="B32" s="3" t="s">
        <v>10</v>
      </c>
      <c r="C32" s="4">
        <v>1.031567177698048</v>
      </c>
      <c r="D32" s="4">
        <v>1.061725387278716</v>
      </c>
      <c r="E32" s="4">
        <v>1.000301407394824</v>
      </c>
      <c r="F32" s="4">
        <v>0.9999882129571374</v>
      </c>
      <c r="G32" s="4">
        <v>1.040938109008156</v>
      </c>
      <c r="H32" s="4">
        <v>1.000000995746867</v>
      </c>
      <c r="I32" s="4">
        <v>1.140409480546357</v>
      </c>
    </row>
    <row x14ac:dyDescent="0.25" r="33" customHeight="1" ht="18">
      <c r="A33" s="3" t="s">
        <v>40</v>
      </c>
      <c r="B33" s="3" t="s">
        <v>10</v>
      </c>
      <c r="C33" s="4">
        <v>1.031567177698048</v>
      </c>
      <c r="D33" s="4">
        <v>1.061725387278716</v>
      </c>
      <c r="E33" s="4">
        <v>1.000301407394824</v>
      </c>
      <c r="F33" s="4">
        <v>0.9999882129571374</v>
      </c>
      <c r="G33" s="4">
        <v>1.040938109008156</v>
      </c>
      <c r="H33" s="4">
        <v>1.000000995746867</v>
      </c>
      <c r="I33" s="4">
        <v>1.140409480546357</v>
      </c>
    </row>
    <row x14ac:dyDescent="0.25" r="34" customHeight="1" ht="18">
      <c r="A34" s="3" t="s">
        <v>41</v>
      </c>
      <c r="B34" s="3" t="s">
        <v>10</v>
      </c>
      <c r="C34" s="4">
        <v>1.063325983357309</v>
      </c>
      <c r="D34" s="4">
        <v>1.120680825405355</v>
      </c>
      <c r="E34" s="4">
        <v>1.000606463734918</v>
      </c>
      <c r="F34" s="4">
        <v>0.9999768345110306</v>
      </c>
      <c r="G34" s="4">
        <v>1.080070344595588</v>
      </c>
      <c r="H34" s="4">
        <v>1.000001980553398</v>
      </c>
      <c r="I34" s="4">
        <v>1.287818065169817</v>
      </c>
    </row>
    <row x14ac:dyDescent="0.25" r="35" customHeight="1" ht="18">
      <c r="A35" s="3" t="s">
        <v>42</v>
      </c>
      <c r="B35" s="3" t="s">
        <v>10</v>
      </c>
      <c r="C35" s="4">
        <v>1.03141458610363</v>
      </c>
      <c r="D35" s="4">
        <v>1.015376685951587</v>
      </c>
      <c r="E35" s="4">
        <v>1.000073366609714</v>
      </c>
      <c r="F35" s="4">
        <v>0.9999970767539956</v>
      </c>
      <c r="G35" s="4">
        <v>1.010197631027465</v>
      </c>
      <c r="H35" s="4">
        <v>1.000000244604382</v>
      </c>
      <c r="I35" s="4">
        <v>1.058028825836431</v>
      </c>
    </row>
    <row x14ac:dyDescent="0.25" r="36" customHeight="1" ht="18">
      <c r="A36" s="3" t="s">
        <v>43</v>
      </c>
      <c r="B36" s="3" t="s">
        <v>10</v>
      </c>
      <c r="C36" s="4">
        <v>1.063305551949314</v>
      </c>
      <c r="D36" s="4">
        <v>1.078388426944048</v>
      </c>
      <c r="E36" s="4">
        <v>1.000385925179704</v>
      </c>
      <c r="F36" s="4">
        <v>0.9999850081663588</v>
      </c>
      <c r="G36" s="4">
        <v>1.051993499025178</v>
      </c>
      <c r="H36" s="4">
        <v>1.000001270799113</v>
      </c>
      <c r="I36" s="4">
        <v>1.206724054196964</v>
      </c>
    </row>
    <row x14ac:dyDescent="0.25" r="37" customHeight="1" ht="18">
      <c r="A37" s="3" t="s">
        <v>44</v>
      </c>
      <c r="B37" s="3" t="s">
        <v>10</v>
      </c>
      <c r="C37" s="4">
        <v>1.095383545175372</v>
      </c>
      <c r="D37" s="4">
        <v>1.138603084107376</v>
      </c>
      <c r="E37" s="4">
        <v>1.000702531202781</v>
      </c>
      <c r="F37" s="4">
        <v>0.9999733546617203</v>
      </c>
      <c r="G37" s="4">
        <v>1.091978387126528</v>
      </c>
      <c r="H37" s="4">
        <v>1.000002286292488</v>
      </c>
      <c r="I37" s="4">
        <v>1.362846773697609</v>
      </c>
    </row>
    <row x14ac:dyDescent="0.25" r="38" customHeight="1" ht="18">
      <c r="A38" s="3" t="s">
        <v>45</v>
      </c>
      <c r="B38" s="3" t="s">
        <v>10</v>
      </c>
      <c r="C38" s="4">
        <v>1.063056309888133</v>
      </c>
      <c r="D38" s="4">
        <v>1.030095257159896</v>
      </c>
      <c r="E38" s="4">
        <v>1.000144660779606</v>
      </c>
      <c r="F38" s="4">
        <v>0.9999942702958748</v>
      </c>
      <c r="G38" s="4">
        <v>1.019958720859587</v>
      </c>
      <c r="H38" s="4">
        <v>1.000000480897894</v>
      </c>
      <c r="I38" s="4">
        <v>1.117060754560899</v>
      </c>
    </row>
    <row x14ac:dyDescent="0.25" r="39" customHeight="1" ht="18">
      <c r="A39" s="3" t="s">
        <v>46</v>
      </c>
      <c r="B39" s="3" t="s">
        <v>10</v>
      </c>
      <c r="C39" s="4">
        <v>1.095266858283884</v>
      </c>
      <c r="D39" s="4">
        <v>1.094346444503165</v>
      </c>
      <c r="E39" s="4">
        <v>1.00046812434022</v>
      </c>
      <c r="F39" s="4">
        <v>0.9999819305323351</v>
      </c>
      <c r="G39" s="4">
        <v>1.062584304123755</v>
      </c>
      <c r="H39" s="4">
        <v>1.0000015366574</v>
      </c>
      <c r="I39" s="4">
        <v>1.274190170060129</v>
      </c>
    </row>
    <row x14ac:dyDescent="0.25" r="40" customHeight="1" ht="18">
      <c r="A40" s="3" t="s">
        <v>47</v>
      </c>
      <c r="B40" s="3" t="s">
        <v>10</v>
      </c>
      <c r="C40" s="4">
        <v>1.127659956363139</v>
      </c>
      <c r="D40" s="4">
        <v>1.155775333601638</v>
      </c>
      <c r="E40" s="4">
        <v>1.000796037191583</v>
      </c>
      <c r="F40" s="4">
        <v>0.9999700120081291</v>
      </c>
      <c r="G40" s="4">
        <v>1.103394959920419</v>
      </c>
      <c r="H40" s="4">
        <v>1.00000258196981</v>
      </c>
      <c r="I40" s="4">
        <v>1.439183763378176</v>
      </c>
    </row>
    <row x14ac:dyDescent="0.25" r="41" customHeight="1" ht="18">
      <c r="A41" s="3" t="s">
        <v>48</v>
      </c>
      <c r="B41" s="3" t="s">
        <v>10</v>
      </c>
      <c r="C41" s="4">
        <v>1.127496200417153</v>
      </c>
      <c r="D41" s="4">
        <v>1.057921148146048</v>
      </c>
      <c r="E41" s="4">
        <v>1.000282299631929</v>
      </c>
      <c r="F41" s="4">
        <v>0.9999889433244059</v>
      </c>
      <c r="G41" s="4">
        <v>1.03841450460263</v>
      </c>
      <c r="H41" s="4">
        <v>1.000000933319427</v>
      </c>
      <c r="I41" s="4">
        <v>1.238960095907002</v>
      </c>
    </row>
    <row x14ac:dyDescent="0.25" r="42" customHeight="1" ht="18">
      <c r="A42" s="3" t="s">
        <v>49</v>
      </c>
      <c r="B42" s="3" t="s">
        <v>10</v>
      </c>
      <c r="C42" s="4">
        <v>1.160338587609704</v>
      </c>
      <c r="D42" s="4">
        <v>1.124537264303259</v>
      </c>
      <c r="E42" s="4">
        <v>1.000627003892202</v>
      </c>
      <c r="F42" s="4">
        <v>0.9999760865098277</v>
      </c>
      <c r="G42" s="4">
        <v>1.082632098601026</v>
      </c>
      <c r="H42" s="4">
        <v>1.000002046093662</v>
      </c>
      <c r="I42" s="4">
        <v>1.413520813772142</v>
      </c>
    </row>
    <row x14ac:dyDescent="0.25" r="43" customHeight="1" ht="18">
      <c r="A43" s="3" t="s">
        <v>50</v>
      </c>
      <c r="B43" s="3" t="s">
        <v>10</v>
      </c>
      <c r="C43" s="4">
        <v>1.193354849279991</v>
      </c>
      <c r="D43" s="4">
        <v>1.188285484761479</v>
      </c>
      <c r="E43" s="4">
        <v>1.000976973643463</v>
      </c>
      <c r="F43" s="4">
        <v>0.99996366243039</v>
      </c>
      <c r="G43" s="4">
        <v>1.125029892761783</v>
      </c>
      <c r="H43" s="4">
        <v>1.000003148971657</v>
      </c>
      <c r="I43" s="4">
        <v>1.596850025874971</v>
      </c>
    </row>
    <row x14ac:dyDescent="0.25" r="44" customHeight="1" ht="18">
      <c r="A44" s="3" t="s">
        <v>51</v>
      </c>
      <c r="B44" s="3" t="s">
        <v>10</v>
      </c>
      <c r="C44" s="4">
        <v>1.054286806714531</v>
      </c>
      <c r="D44" s="4">
        <v>1.075057236432961</v>
      </c>
      <c r="E44" s="4">
        <v>1.000001704743229</v>
      </c>
      <c r="F44" s="4">
        <v>0.9999998059417414</v>
      </c>
      <c r="G44" s="4">
        <v>1.025892415781089</v>
      </c>
      <c r="H44" s="4">
        <v>1.000000007031156</v>
      </c>
      <c r="I44" s="4">
        <v>1.162767372802364</v>
      </c>
    </row>
    <row x14ac:dyDescent="0.25" r="45" customHeight="1" ht="18">
      <c r="A45" s="3" t="s">
        <v>52</v>
      </c>
      <c r="B45" s="3" t="s">
        <v>10</v>
      </c>
      <c r="C45" s="4">
        <v>1.109289525328858</v>
      </c>
      <c r="D45" s="4">
        <v>1.14707299766659</v>
      </c>
      <c r="E45" s="4">
        <v>1.000003457672244</v>
      </c>
      <c r="F45" s="4">
        <v>0.99999961171961</v>
      </c>
      <c r="G45" s="4">
        <v>1.049954167388069</v>
      </c>
      <c r="H45" s="4">
        <v>1.000000014164908</v>
      </c>
      <c r="I45" s="4">
        <v>1.336003664714578</v>
      </c>
    </row>
    <row x14ac:dyDescent="0.25" r="46" customHeight="1" ht="18">
      <c r="A46" s="3" t="s">
        <v>53</v>
      </c>
      <c r="B46" s="3" t="s">
        <v>10</v>
      </c>
      <c r="C46" s="4">
        <v>1.054239782552564</v>
      </c>
      <c r="D46" s="4">
        <v>1.134980113605202</v>
      </c>
      <c r="E46" s="4">
        <v>1.000003155294545</v>
      </c>
      <c r="F46" s="4">
        <v>0.9999996448709687</v>
      </c>
      <c r="G46" s="4">
        <v>1.04596357732624</v>
      </c>
      <c r="H46" s="4">
        <v>1.000000012940752</v>
      </c>
      <c r="I46" s="4">
        <v>1.251542022304496</v>
      </c>
    </row>
    <row x14ac:dyDescent="0.25" r="47" customHeight="1" ht="18">
      <c r="A47" s="3" t="s">
        <v>54</v>
      </c>
      <c r="B47" s="3" t="s">
        <v>10</v>
      </c>
      <c r="C47" s="4">
        <v>1.109474064753895</v>
      </c>
      <c r="D47" s="4">
        <v>1.222223111031482</v>
      </c>
      <c r="E47" s="4">
        <v>1.000005409414518</v>
      </c>
      <c r="F47" s="4">
        <v>0.9999994009475464</v>
      </c>
      <c r="G47" s="4">
        <v>1.074333357647596</v>
      </c>
      <c r="H47" s="4">
        <v>1.00000002200746</v>
      </c>
      <c r="I47" s="4">
        <v>1.456829762569552</v>
      </c>
    </row>
    <row x14ac:dyDescent="0.25" r="48" customHeight="1" ht="18">
      <c r="A48" s="3" t="s">
        <v>55</v>
      </c>
      <c r="B48" s="3" t="s">
        <v>10</v>
      </c>
      <c r="C48" s="4">
        <v>1.16540440928028</v>
      </c>
      <c r="D48" s="4">
        <v>1.306114604444877</v>
      </c>
      <c r="E48" s="4">
        <v>1.000007736075404</v>
      </c>
      <c r="F48" s="4">
        <v>0.9999991562205306</v>
      </c>
      <c r="G48" s="4">
        <v>1.10075840275636</v>
      </c>
      <c r="H48" s="4">
        <v>1.000000031235357</v>
      </c>
      <c r="I48" s="4">
        <v>1.675532895522834</v>
      </c>
    </row>
    <row x14ac:dyDescent="0.25" r="49" customHeight="1" ht="18">
      <c r="A49" s="3" t="s">
        <v>56</v>
      </c>
      <c r="B49" s="3" t="s">
        <v>10</v>
      </c>
      <c r="C49" s="4">
        <v>1.109233893071782</v>
      </c>
      <c r="D49" s="4">
        <v>1.267552192219953</v>
      </c>
      <c r="E49" s="4">
        <v>1.000006647197417</v>
      </c>
      <c r="F49" s="4">
        <v>0.99999926992931</v>
      </c>
      <c r="G49" s="4">
        <v>1.088709537345151</v>
      </c>
      <c r="H49" s="4">
        <v>1.000000026932073</v>
      </c>
      <c r="I49" s="4">
        <v>1.530747612608288</v>
      </c>
    </row>
    <row x14ac:dyDescent="0.25" r="50" customHeight="1" ht="18">
      <c r="A50" s="3" t="s">
        <v>57</v>
      </c>
      <c r="B50" s="3" t="s">
        <v>10</v>
      </c>
      <c r="C50" s="4">
        <v>1.165396475583075</v>
      </c>
      <c r="D50" s="4">
        <v>1.36707974073649</v>
      </c>
      <c r="E50" s="4">
        <v>1.000009524833748</v>
      </c>
      <c r="F50" s="4">
        <v>0.9999989723198612</v>
      </c>
      <c r="G50" s="4">
        <v>1.119487676348164</v>
      </c>
      <c r="H50" s="4">
        <v>1.000000038250136</v>
      </c>
      <c r="I50" s="4">
        <v>1.783571695582855</v>
      </c>
    </row>
    <row x14ac:dyDescent="0.25" r="51" customHeight="1" ht="18">
      <c r="A51" s="3" t="s">
        <v>58</v>
      </c>
      <c r="B51" s="3" t="s">
        <v>10</v>
      </c>
      <c r="C51" s="4">
        <v>1.222236180236561</v>
      </c>
      <c r="D51" s="4">
        <v>1.462976557484537</v>
      </c>
      <c r="E51" s="4">
        <v>1.000012505425019</v>
      </c>
      <c r="F51" s="4">
        <v>0.9999986730696615</v>
      </c>
      <c r="G51" s="4">
        <v>1.148217896272308</v>
      </c>
      <c r="H51" s="4">
        <v>1.000000049802358</v>
      </c>
      <c r="I51" s="4">
        <v>2.053154779637954</v>
      </c>
    </row>
    <row x14ac:dyDescent="0.25" r="52" customHeight="1" ht="18">
      <c r="A52" s="3" t="s">
        <v>59</v>
      </c>
      <c r="B52" s="3" t="s">
        <v>10</v>
      </c>
      <c r="C52" s="4">
        <v>1.034284655480492</v>
      </c>
      <c r="D52" s="4">
        <v>1.014054439399924</v>
      </c>
      <c r="E52" s="4">
        <v>1.000032725621958</v>
      </c>
      <c r="F52" s="4">
        <v>0.9999984317133924</v>
      </c>
      <c r="G52" s="4">
        <v>1.0083288270158</v>
      </c>
      <c r="H52" s="4">
        <v>1.000000100968829</v>
      </c>
      <c r="I52" s="4">
        <v>1.057589452095626</v>
      </c>
    </row>
    <row x14ac:dyDescent="0.25" r="53" customHeight="1" ht="18">
      <c r="A53" s="3" t="s">
        <v>60</v>
      </c>
      <c r="B53" s="3" t="s">
        <v>10</v>
      </c>
      <c r="C53" s="4">
        <v>1.068848478525972</v>
      </c>
      <c r="D53" s="4">
        <v>1.027478040485077</v>
      </c>
      <c r="E53" s="4">
        <v>1.00006441450069</v>
      </c>
      <c r="F53" s="4">
        <v>0.9999969277509518</v>
      </c>
      <c r="G53" s="4">
        <v>1.016272285113577</v>
      </c>
      <c r="H53" s="4">
        <v>1.000000198276899</v>
      </c>
      <c r="I53" s="4">
        <v>1.116157546732685</v>
      </c>
    </row>
    <row x14ac:dyDescent="0.25" r="54" customHeight="1" ht="18">
      <c r="A54" s="3" t="s">
        <v>61</v>
      </c>
      <c r="B54" s="3" t="s">
        <v>10</v>
      </c>
      <c r="C54" s="4">
        <v>1.139330042542293</v>
      </c>
      <c r="D54" s="4">
        <v>1.052777994359927</v>
      </c>
      <c r="E54" s="4">
        <v>1.000125287931441</v>
      </c>
      <c r="F54" s="4">
        <v>0.9999940774781763</v>
      </c>
      <c r="G54" s="4">
        <v>1.031214857201169</v>
      </c>
      <c r="H54" s="4">
        <v>1.000000383970904</v>
      </c>
      <c r="I54" s="4">
        <v>1.237050737034842</v>
      </c>
    </row>
    <row x14ac:dyDescent="0.25" r="55" customHeight="1" ht="18">
      <c r="A55" s="3" t="s">
        <v>62</v>
      </c>
      <c r="B55" s="3" t="s">
        <v>10</v>
      </c>
      <c r="C55" s="4">
        <v>1.034421515648454</v>
      </c>
      <c r="D55" s="4">
        <v>1.100576848664772</v>
      </c>
      <c r="E55" s="4">
        <v>1.000244392695002</v>
      </c>
      <c r="F55" s="4">
        <v>0.9999886388683457</v>
      </c>
      <c r="G55" s="4">
        <v>1.059353337036483</v>
      </c>
      <c r="H55" s="4">
        <v>1.000000742865795</v>
      </c>
      <c r="I55" s="4">
        <v>1.206313730292803</v>
      </c>
    </row>
    <row x14ac:dyDescent="0.25" r="56" customHeight="1" ht="18">
      <c r="A56" s="3" t="s">
        <v>63</v>
      </c>
      <c r="B56" s="3" t="s">
        <v>10</v>
      </c>
      <c r="C56" s="4">
        <v>1.069090780477388</v>
      </c>
      <c r="D56" s="4">
        <v>1.116505459849334</v>
      </c>
      <c r="E56" s="4">
        <v>1.000285274557589</v>
      </c>
      <c r="F56" s="4">
        <v>0.99998681159137</v>
      </c>
      <c r="G56" s="4">
        <v>1.068706335664537</v>
      </c>
      <c r="H56" s="4">
        <v>1.000000864774498</v>
      </c>
      <c r="I56" s="4">
        <v>1.276004902337331</v>
      </c>
    </row>
    <row x14ac:dyDescent="0.25" r="57" customHeight="1" ht="18">
      <c r="A57" s="3" t="s">
        <v>64</v>
      </c>
      <c r="B57" s="3" t="s">
        <v>10</v>
      </c>
      <c r="C57" s="4">
        <v>1.104033880857071</v>
      </c>
      <c r="D57" s="4">
        <v>1.131728929038989</v>
      </c>
      <c r="E57" s="4">
        <v>1.000324903387683</v>
      </c>
      <c r="F57" s="4">
        <v>0.9999850585150775</v>
      </c>
      <c r="G57" s="4">
        <v>1.0776352261249</v>
      </c>
      <c r="H57" s="4">
        <v>1.000000982351914</v>
      </c>
      <c r="I57" s="4">
        <v>1.34688841192472</v>
      </c>
    </row>
    <row x14ac:dyDescent="0.25" r="58" customHeight="1" ht="18">
      <c r="A58" s="3" t="s">
        <v>65</v>
      </c>
      <c r="B58" s="3" t="s">
        <v>10</v>
      </c>
      <c r="C58" s="4">
        <v>1.175264362569013</v>
      </c>
      <c r="D58" s="4">
        <v>1.160447145679704</v>
      </c>
      <c r="E58" s="4">
        <v>1.000401143046844</v>
      </c>
      <c r="F58" s="4">
        <v>0.9999817341567251</v>
      </c>
      <c r="G58" s="4">
        <v>1.094454435164529</v>
      </c>
      <c r="H58" s="4">
        <v>1.000001206963529</v>
      </c>
      <c r="I58" s="4">
        <v>1.493225466526868</v>
      </c>
    </row>
    <row x14ac:dyDescent="0.25" r="59" customHeight="1" ht="18">
      <c r="A59" s="3" t="s">
        <v>66</v>
      </c>
      <c r="B59" s="3" t="s">
        <v>10</v>
      </c>
      <c r="C59" s="4">
        <v>1.069108200579845</v>
      </c>
      <c r="D59" s="4">
        <v>1.197177536028071</v>
      </c>
      <c r="E59" s="4">
        <v>1.000501477957231</v>
      </c>
      <c r="F59" s="4">
        <v>0.9999774507129755</v>
      </c>
      <c r="G59" s="4">
        <v>1.115924337681148</v>
      </c>
      <c r="H59" s="4">
        <v>1.000001499523134</v>
      </c>
      <c r="I59" s="4">
        <v>1.428971482861774</v>
      </c>
    </row>
    <row x14ac:dyDescent="0.25" r="60" customHeight="1" ht="18">
      <c r="A60" s="3" t="s">
        <v>67</v>
      </c>
      <c r="B60" s="3" t="s">
        <v>10</v>
      </c>
      <c r="C60" s="4">
        <v>1.104156546872594</v>
      </c>
      <c r="D60" s="4">
        <v>1.214969236219585</v>
      </c>
      <c r="E60" s="4">
        <v>1.000551219389388</v>
      </c>
      <c r="F60" s="4">
        <v>0.9999753636381662</v>
      </c>
      <c r="G60" s="4">
        <v>1.126309273638168</v>
      </c>
      <c r="H60" s="4">
        <v>1.000001643339491</v>
      </c>
      <c r="I60" s="4">
        <v>1.511760288667238</v>
      </c>
    </row>
    <row x14ac:dyDescent="0.25" r="61" customHeight="1" ht="18">
      <c r="A61" s="3" t="s">
        <v>68</v>
      </c>
      <c r="B61" s="3" t="s">
        <v>10</v>
      </c>
      <c r="C61" s="4">
        <v>1.139473561796651</v>
      </c>
      <c r="D61" s="4">
        <v>1.231983609022045</v>
      </c>
      <c r="E61" s="4">
        <v>1.000599484252411</v>
      </c>
      <c r="F61" s="4">
        <v>0.9999733605456363</v>
      </c>
      <c r="G61" s="4">
        <v>1.136232478467362</v>
      </c>
      <c r="H61" s="4">
        <v>1.0000017821432</v>
      </c>
      <c r="I61" s="4">
        <v>1.595974180675698</v>
      </c>
    </row>
    <row x14ac:dyDescent="0.25" r="62" customHeight="1" ht="18">
      <c r="A62" s="3" t="s">
        <v>69</v>
      </c>
      <c r="B62" s="3" t="s">
        <v>10</v>
      </c>
      <c r="C62" s="4">
        <v>1.211442619222796</v>
      </c>
      <c r="D62" s="4">
        <v>1.264107554458188</v>
      </c>
      <c r="E62" s="4">
        <v>1.000692468418363</v>
      </c>
      <c r="F62" s="4">
        <v>0.9999695600505029</v>
      </c>
      <c r="G62" s="4">
        <v>1.154949032235385</v>
      </c>
      <c r="H62" s="4">
        <v>1.000002047564233</v>
      </c>
      <c r="I62" s="4">
        <v>1.769856253157242</v>
      </c>
    </row>
    <row x14ac:dyDescent="0.25" r="63" customHeight="1" ht="18">
      <c r="A63" s="3" t="s">
        <v>70</v>
      </c>
      <c r="B63" s="3" t="s">
        <v>10</v>
      </c>
      <c r="C63" s="4">
        <v>0.942847576733168</v>
      </c>
      <c r="D63" s="4">
        <v>0.8691600013134667</v>
      </c>
      <c r="E63" s="4">
        <v>0.9979487821805261</v>
      </c>
      <c r="F63" s="4">
        <v>1.000111316792277</v>
      </c>
      <c r="G63" s="4">
        <v>0.8919027284973857</v>
      </c>
      <c r="H63" s="4">
        <v>0.9999871029955804</v>
      </c>
      <c r="I63" s="4">
        <v>0.7294738139903323</v>
      </c>
    </row>
    <row x14ac:dyDescent="0.25" r="64" customHeight="1" ht="18">
      <c r="A64" s="3" t="s">
        <v>71</v>
      </c>
      <c r="B64" s="3" t="s">
        <v>10</v>
      </c>
      <c r="C64" s="4">
        <v>0.9644553403218526</v>
      </c>
      <c r="D64" s="4">
        <v>0.8933530205676039</v>
      </c>
      <c r="E64" s="4">
        <v>0.9929497248066245</v>
      </c>
      <c r="F64" s="4">
        <v>1.000181282843676</v>
      </c>
      <c r="G64" s="4">
        <v>0.8784308037106988</v>
      </c>
      <c r="H64" s="4">
        <v>0.9999690128221556</v>
      </c>
      <c r="I64" s="4">
        <v>0.7516320909355751</v>
      </c>
    </row>
    <row x14ac:dyDescent="0.25" r="65" customHeight="1" ht="18">
      <c r="A65" s="3" t="s">
        <v>72</v>
      </c>
      <c r="B65" s="3" t="s">
        <v>10</v>
      </c>
      <c r="C65" s="4">
        <v>1.072190772635063</v>
      </c>
      <c r="D65" s="4">
        <v>1.007640685834505</v>
      </c>
      <c r="E65" s="4">
        <v>1.000540018356752</v>
      </c>
      <c r="F65" s="4">
        <v>0.9999873455745564</v>
      </c>
      <c r="G65" s="4">
        <v>1.009098862994505</v>
      </c>
      <c r="H65" s="4">
        <v>1.000002267346269</v>
      </c>
      <c r="I65" s="4">
        <v>1.090790707713717</v>
      </c>
    </row>
    <row x14ac:dyDescent="0.25" r="66" customHeight="1" ht="18">
      <c r="A66" s="3" t="s">
        <v>73</v>
      </c>
      <c r="B66" s="3" t="s">
        <v>10</v>
      </c>
      <c r="C66" s="4">
        <v>1.035800593370569</v>
      </c>
      <c r="D66" s="4">
        <v>0.8997436147505485</v>
      </c>
      <c r="E66" s="4">
        <v>0.9933469355993098</v>
      </c>
      <c r="F66" s="4">
        <v>1.000170178942097</v>
      </c>
      <c r="G66" s="4">
        <v>0.8854416797657623</v>
      </c>
      <c r="H66" s="4">
        <v>0.9999708330228056</v>
      </c>
      <c r="I66" s="4">
        <v>0.8198173038035185</v>
      </c>
    </row>
    <row x14ac:dyDescent="0.25" r="67" customHeight="1" ht="18">
      <c r="A67" s="3" t="s">
        <v>74</v>
      </c>
      <c r="B67" s="3" t="s">
        <v>75</v>
      </c>
      <c r="C67" s="4">
        <v>1.052127408569832</v>
      </c>
      <c r="D67" s="4">
        <v>1.010379611280329</v>
      </c>
      <c r="E67" s="4">
        <v>1.003584905946787</v>
      </c>
      <c r="F67" s="4">
        <v>0.9999728566716803</v>
      </c>
      <c r="G67" s="4">
        <v>1.021890020389647</v>
      </c>
      <c r="H67" s="4">
        <v>1.000008651630302</v>
      </c>
      <c r="I67" s="4">
        <v>1.090192414812017</v>
      </c>
    </row>
    <row x14ac:dyDescent="0.25" r="68" customHeight="1" ht="18">
      <c r="A68" s="3" t="s">
        <v>76</v>
      </c>
      <c r="B68" s="3" t="s">
        <v>75</v>
      </c>
      <c r="C68" s="4">
        <v>1.025997889862905</v>
      </c>
      <c r="D68" s="4">
        <v>1.004618106402364</v>
      </c>
      <c r="E68" s="4">
        <v>1.001092642840598</v>
      </c>
      <c r="F68" s="4">
        <v>0.9999893074058053</v>
      </c>
      <c r="G68" s="4">
        <v>1.00826789208044</v>
      </c>
      <c r="H68" s="5">
        <v>1</v>
      </c>
      <c r="I68" s="4">
        <v>1.040382485156943</v>
      </c>
    </row>
    <row x14ac:dyDescent="0.25" r="69" customHeight="1" ht="18">
      <c r="A69" s="3" t="s">
        <v>77</v>
      </c>
      <c r="B69" s="3" t="s">
        <v>75</v>
      </c>
      <c r="C69" s="4">
        <v>1.020363170216076</v>
      </c>
      <c r="D69" s="4">
        <v>1.004383037911876</v>
      </c>
      <c r="E69" s="4">
        <v>1.002607691039336</v>
      </c>
      <c r="F69" s="4">
        <v>0.999989028260598</v>
      </c>
      <c r="G69" s="4">
        <v>1.011977818312697</v>
      </c>
      <c r="H69" s="4">
        <v>1.00000493778308</v>
      </c>
      <c r="I69" s="4">
        <v>1.03980894378647</v>
      </c>
    </row>
    <row x14ac:dyDescent="0.25" r="70" customHeight="1" ht="18">
      <c r="A70" s="3" t="s">
        <v>78</v>
      </c>
      <c r="B70" s="3" t="s">
        <v>75</v>
      </c>
      <c r="C70" s="4">
        <v>1.040812038687753</v>
      </c>
      <c r="D70" s="4">
        <v>1.008584371294789</v>
      </c>
      <c r="E70" s="4">
        <v>1.005130893736658</v>
      </c>
      <c r="F70" s="4">
        <v>0.9999785921251021</v>
      </c>
      <c r="G70" s="4">
        <v>1.023611704640077</v>
      </c>
      <c r="H70" s="4">
        <v>1.000009670711284</v>
      </c>
      <c r="I70" s="4">
        <v>1.08003370409141</v>
      </c>
    </row>
    <row x14ac:dyDescent="0.25" r="71" customHeight="1" ht="18">
      <c r="A71" s="3" t="s">
        <v>79</v>
      </c>
      <c r="B71" s="3" t="s">
        <v>75</v>
      </c>
      <c r="C71" s="4">
        <v>1.040790061357729</v>
      </c>
      <c r="D71" s="4">
        <v>1.010618711068542</v>
      </c>
      <c r="E71" s="4">
        <v>1.006361044685632</v>
      </c>
      <c r="F71" s="4">
        <v>0.9999735670808052</v>
      </c>
      <c r="G71" s="4">
        <v>1.029299406869311</v>
      </c>
      <c r="H71" s="4">
        <v>1.000011962391722</v>
      </c>
      <c r="I71" s="4">
        <v>1.089531337986172</v>
      </c>
    </row>
    <row x14ac:dyDescent="0.25" r="72" customHeight="1" ht="18">
      <c r="A72" s="3" t="s">
        <v>80</v>
      </c>
      <c r="B72" s="3" t="s">
        <v>75</v>
      </c>
      <c r="C72" s="4">
        <v>1.061424600135107</v>
      </c>
      <c r="D72" s="4">
        <v>1.015113567561235</v>
      </c>
      <c r="E72" s="4">
        <v>1.009098630716231</v>
      </c>
      <c r="F72" s="4">
        <v>0.9999625293636292</v>
      </c>
      <c r="G72" s="4">
        <v>1.041994013369552</v>
      </c>
      <c r="H72" s="4">
        <v>1.000017025666492</v>
      </c>
      <c r="I72" s="4">
        <v>1.132905649208098</v>
      </c>
    </row>
    <row x14ac:dyDescent="0.25" r="73" customHeight="1" ht="18">
      <c r="A73" s="3" t="s">
        <v>81</v>
      </c>
      <c r="B73" s="3" t="s">
        <v>75</v>
      </c>
      <c r="C73" s="4">
        <v>1.082142393303158</v>
      </c>
      <c r="D73" s="4">
        <v>1.019423103933484</v>
      </c>
      <c r="E73" s="4">
        <v>1.011748900979998</v>
      </c>
      <c r="F73" s="4">
        <v>0.9999520304427586</v>
      </c>
      <c r="G73" s="4">
        <v>1.054332645795138</v>
      </c>
      <c r="H73" s="4">
        <v>1.000021879929002</v>
      </c>
      <c r="I73" s="4">
        <v>1.176733038884263</v>
      </c>
    </row>
    <row x14ac:dyDescent="0.25" r="74" customHeight="1" ht="18">
      <c r="A74" s="3" t="s">
        <v>82</v>
      </c>
      <c r="B74" s="3" t="s">
        <v>75</v>
      </c>
      <c r="C74" s="4">
        <v>1.037912634050564</v>
      </c>
      <c r="D74" s="4">
        <v>1.037406793154197</v>
      </c>
      <c r="E74" s="4">
        <v>1.001249631518022</v>
      </c>
      <c r="F74" s="4">
        <v>0.999962829798578</v>
      </c>
      <c r="G74" s="4">
        <v>1.036705715033482</v>
      </c>
      <c r="H74" s="4">
        <v>1.000004181364216</v>
      </c>
      <c r="I74" s="4">
        <v>1.117618084828746</v>
      </c>
    </row>
    <row x14ac:dyDescent="0.25" r="75" customHeight="1" ht="18">
      <c r="A75" s="3" t="s">
        <v>83</v>
      </c>
      <c r="B75" s="3" t="s">
        <v>75</v>
      </c>
      <c r="C75" s="4">
        <v>1.076131566199042</v>
      </c>
      <c r="D75" s="4">
        <v>1.072286593917603</v>
      </c>
      <c r="E75" s="4">
        <v>1.002459568011108</v>
      </c>
      <c r="F75" s="4">
        <v>0.9999284450223784</v>
      </c>
      <c r="G75" s="4">
        <v>1.071513356303333</v>
      </c>
      <c r="H75" s="4">
        <v>1.000008140259905</v>
      </c>
      <c r="I75" s="4">
        <v>1.239404759240636</v>
      </c>
    </row>
    <row x14ac:dyDescent="0.25" r="76" customHeight="1" ht="18">
      <c r="A76" s="3" t="s">
        <v>84</v>
      </c>
      <c r="B76" s="3" t="s">
        <v>75</v>
      </c>
      <c r="C76" s="4">
        <v>1.037782650382904</v>
      </c>
      <c r="D76" s="4">
        <v>1.016659899749371</v>
      </c>
      <c r="E76" s="4">
        <v>1.000550441346963</v>
      </c>
      <c r="F76" s="4">
        <v>0.9999834088739304</v>
      </c>
      <c r="G76" s="4">
        <v>1.016269359720442</v>
      </c>
      <c r="H76" s="4">
        <v>1.000001853865049</v>
      </c>
      <c r="I76" s="4">
        <v>1.072811744484311</v>
      </c>
    </row>
    <row x14ac:dyDescent="0.25" r="77" customHeight="1" ht="18">
      <c r="A77" s="3" t="s">
        <v>85</v>
      </c>
      <c r="B77" s="3" t="s">
        <v>75</v>
      </c>
      <c r="C77" s="4">
        <v>1.076161071994399</v>
      </c>
      <c r="D77" s="4">
        <v>1.055011951614796</v>
      </c>
      <c r="E77" s="4">
        <v>1.001854917969478</v>
      </c>
      <c r="F77" s="4">
        <v>0.9999454405375429</v>
      </c>
      <c r="G77" s="4">
        <v>1.054203066961867</v>
      </c>
      <c r="H77" s="4">
        <v>1.000006172476042</v>
      </c>
      <c r="I77" s="4">
        <v>1.199065072712979</v>
      </c>
    </row>
    <row x14ac:dyDescent="0.25" r="78" customHeight="1" ht="18">
      <c r="A78" s="3" t="s">
        <v>86</v>
      </c>
      <c r="B78" s="3" t="s">
        <v>75</v>
      </c>
      <c r="C78" s="4">
        <v>1.114838278563919</v>
      </c>
      <c r="D78" s="4">
        <v>1.090794174176245</v>
      </c>
      <c r="E78" s="4">
        <v>1.003119206805597</v>
      </c>
      <c r="F78" s="4">
        <v>0.9999103121244765</v>
      </c>
      <c r="G78" s="4">
        <v>1.09021718608711</v>
      </c>
      <c r="H78" s="4">
        <v>1.000010263639062</v>
      </c>
      <c r="I78" s="4">
        <v>1.329798247865916</v>
      </c>
    </row>
    <row x14ac:dyDescent="0.25" r="79" customHeight="1" ht="18">
      <c r="A79" s="3" t="s">
        <v>87</v>
      </c>
      <c r="B79" s="3" t="s">
        <v>75</v>
      </c>
      <c r="C79" s="4">
        <v>1.075874218011543</v>
      </c>
      <c r="D79" s="4">
        <v>1.032345478153644</v>
      </c>
      <c r="E79" s="4">
        <v>1.001077654370401</v>
      </c>
      <c r="F79" s="4">
        <v>0.9999678416265297</v>
      </c>
      <c r="G79" s="4">
        <v>1.031701982582475</v>
      </c>
      <c r="H79" s="4">
        <v>1.000003611653314</v>
      </c>
      <c r="I79" s="4">
        <v>1.147086568908724</v>
      </c>
    </row>
    <row x14ac:dyDescent="0.25" r="80" customHeight="1" ht="18">
      <c r="A80" s="3" t="s">
        <v>88</v>
      </c>
      <c r="B80" s="3" t="s">
        <v>75</v>
      </c>
      <c r="C80" s="4">
        <v>1.114710994726226</v>
      </c>
      <c r="D80" s="4">
        <v>1.071597273536295</v>
      </c>
      <c r="E80" s="4">
        <v>1.002435236286376</v>
      </c>
      <c r="F80" s="4">
        <v>0.9999291219090365</v>
      </c>
      <c r="G80" s="4">
        <v>1.070819901072323</v>
      </c>
      <c r="H80" s="4">
        <v>1.000008061474902</v>
      </c>
      <c r="I80" s="4">
        <v>1.282151546645915</v>
      </c>
    </row>
    <row x14ac:dyDescent="0.25" r="81" customHeight="1" ht="18">
      <c r="A81" s="3" t="s">
        <v>89</v>
      </c>
      <c r="B81" s="3" t="s">
        <v>75</v>
      </c>
      <c r="C81" s="4">
        <v>1.153839291302139</v>
      </c>
      <c r="D81" s="4">
        <v>1.108239309212977</v>
      </c>
      <c r="E81" s="4">
        <v>1.003752227013962</v>
      </c>
      <c r="F81" s="4">
        <v>0.9998932932895209</v>
      </c>
      <c r="G81" s="4">
        <v>1.107999469211104</v>
      </c>
      <c r="H81" s="4">
        <v>1.000012279197874</v>
      </c>
      <c r="I81" s="4">
        <v>1.422014211132896</v>
      </c>
    </row>
    <row x14ac:dyDescent="0.25" r="82" customHeight="1" ht="18">
      <c r="A82" s="3" t="s">
        <v>90</v>
      </c>
      <c r="B82" s="3" t="s">
        <v>75</v>
      </c>
      <c r="C82" s="4">
        <v>1.026909093258847</v>
      </c>
      <c r="D82" s="4">
        <v>1.009070175973337</v>
      </c>
      <c r="E82" s="4">
        <v>1.001206447163085</v>
      </c>
      <c r="F82" s="4">
        <v>0.9999849639237013</v>
      </c>
      <c r="G82" s="4">
        <v>1.013156994529378</v>
      </c>
      <c r="H82" s="4">
        <v>1.000002795618404</v>
      </c>
      <c r="I82" s="4">
        <v>1.051110654882117</v>
      </c>
    </row>
    <row x14ac:dyDescent="0.25" r="83" customHeight="1" ht="18">
      <c r="A83" s="3" t="s">
        <v>91</v>
      </c>
      <c r="B83" s="3" t="s">
        <v>75</v>
      </c>
      <c r="C83" s="4">
        <v>1.053974025917224</v>
      </c>
      <c r="D83" s="4">
        <v>1.017712240327717</v>
      </c>
      <c r="E83" s="4">
        <v>1.002368897712205</v>
      </c>
      <c r="F83" s="4">
        <v>0.9999707320448273</v>
      </c>
      <c r="G83" s="4">
        <v>1.025823007949301</v>
      </c>
      <c r="H83" s="4">
        <v>1.000005465057049</v>
      </c>
      <c r="I83" s="4">
        <v>1.102921458981305</v>
      </c>
    </row>
    <row x14ac:dyDescent="0.25" r="84" customHeight="1" ht="18">
      <c r="A84" s="3" t="s">
        <v>92</v>
      </c>
      <c r="B84" s="3" t="s">
        <v>75</v>
      </c>
      <c r="C84" s="4">
        <v>1.10898046509485</v>
      </c>
      <c r="D84" s="4">
        <v>1.033947344087514</v>
      </c>
      <c r="E84" s="4">
        <v>1.004587136289596</v>
      </c>
      <c r="F84" s="4">
        <v>0.9999442442163916</v>
      </c>
      <c r="G84" s="4">
        <v>1.049966535956594</v>
      </c>
      <c r="H84" s="4">
        <v>1.000010494769744</v>
      </c>
      <c r="I84" s="4">
        <v>1.209388211729431</v>
      </c>
    </row>
    <row x14ac:dyDescent="0.25" r="85" customHeight="1" ht="18">
      <c r="A85" s="3" t="s">
        <v>93</v>
      </c>
      <c r="B85" s="3" t="s">
        <v>75</v>
      </c>
      <c r="C85" s="4">
        <v>1.136864750807165</v>
      </c>
      <c r="D85" s="4">
        <v>1.05098695288943</v>
      </c>
      <c r="E85" s="4">
        <v>1.006964143307214</v>
      </c>
      <c r="F85" s="4">
        <v>0.9999167907881932</v>
      </c>
      <c r="G85" s="4">
        <v>1.075806796721955</v>
      </c>
      <c r="H85" s="4">
        <v>1.000015793974811</v>
      </c>
      <c r="I85" s="4">
        <v>1.294270748991295</v>
      </c>
    </row>
    <row x14ac:dyDescent="0.25" r="86" customHeight="1" ht="18">
      <c r="A86" s="3" t="s">
        <v>94</v>
      </c>
      <c r="B86" s="3" t="s">
        <v>75</v>
      </c>
      <c r="C86" s="4">
        <v>1.081393351790715</v>
      </c>
      <c r="D86" s="4">
        <v>1.034285340681707</v>
      </c>
      <c r="E86" s="4">
        <v>1.004633798144693</v>
      </c>
      <c r="F86" s="4">
        <v>0.999943696204398</v>
      </c>
      <c r="G86" s="4">
        <v>1.050474078730254</v>
      </c>
      <c r="H86" s="4">
        <v>1.000010599685204</v>
      </c>
      <c r="I86" s="4">
        <v>1.180313405998127</v>
      </c>
    </row>
    <row x14ac:dyDescent="0.25" r="87" customHeight="1" ht="18">
      <c r="A87" s="3" t="s">
        <v>95</v>
      </c>
      <c r="B87" s="3" t="s">
        <v>75</v>
      </c>
      <c r="C87" s="4">
        <v>1.054093713783569</v>
      </c>
      <c r="D87" s="4">
        <v>1.025398176894245</v>
      </c>
      <c r="E87" s="4">
        <v>1.0034134187985</v>
      </c>
      <c r="F87" s="4">
        <v>0.9999581519847632</v>
      </c>
      <c r="G87" s="4">
        <v>1.037195667304844</v>
      </c>
      <c r="H87" s="4">
        <v>1.000007843806327</v>
      </c>
      <c r="I87" s="4">
        <v>1.124857723502955</v>
      </c>
    </row>
    <row x14ac:dyDescent="0.25" r="88" customHeight="1" ht="18">
      <c r="A88" s="3" t="s">
        <v>96</v>
      </c>
      <c r="B88" s="3" t="s">
        <v>75</v>
      </c>
      <c r="C88" s="4">
        <v>1.026947159894874</v>
      </c>
      <c r="D88" s="4">
        <v>1.01607314530841</v>
      </c>
      <c r="E88" s="4">
        <v>1.002147447154094</v>
      </c>
      <c r="F88" s="4">
        <v>0.9999734242571487</v>
      </c>
      <c r="G88" s="4">
        <v>1.023410882295617</v>
      </c>
      <c r="H88" s="4">
        <v>1.00000495833065</v>
      </c>
      <c r="I88" s="4">
        <v>1.070151681013492</v>
      </c>
    </row>
    <row x14ac:dyDescent="0.25" r="89" customHeight="1" ht="18">
      <c r="A89" s="3" t="s">
        <v>97</v>
      </c>
      <c r="B89" s="3" t="s">
        <v>75</v>
      </c>
      <c r="C89" s="4">
        <v>1.054021917662656</v>
      </c>
      <c r="D89" s="4">
        <v>1.03125017284443</v>
      </c>
      <c r="E89" s="4">
        <v>1.004215485133316</v>
      </c>
      <c r="F89" s="4">
        <v>0.9999486222962927</v>
      </c>
      <c r="G89" s="4">
        <v>1.045923619223494</v>
      </c>
      <c r="H89" s="4">
        <v>1.000009657850335</v>
      </c>
      <c r="I89" s="4">
        <v>1.14162229405762</v>
      </c>
    </row>
    <row x14ac:dyDescent="0.25" r="90" customHeight="1" ht="18">
      <c r="A90" s="3" t="s">
        <v>98</v>
      </c>
      <c r="B90" s="3" t="s">
        <v>75</v>
      </c>
      <c r="C90" s="4">
        <v>1.081402926880829</v>
      </c>
      <c r="D90" s="4">
        <v>1.040819789735589</v>
      </c>
      <c r="E90" s="4">
        <v>1.005539781235872</v>
      </c>
      <c r="F90" s="4">
        <v>0.9999331290120478</v>
      </c>
      <c r="G90" s="4">
        <v>1.060326098794975</v>
      </c>
      <c r="H90" s="4">
        <v>1.000012629600241</v>
      </c>
      <c r="I90" s="4">
        <v>1.19999167239016</v>
      </c>
    </row>
    <row x14ac:dyDescent="0.25" r="91" customHeight="1" ht="18">
      <c r="A91" s="3" t="s">
        <v>99</v>
      </c>
      <c r="B91" s="3" t="s">
        <v>75</v>
      </c>
      <c r="C91" s="4">
        <v>1.108934334205111</v>
      </c>
      <c r="D91" s="4">
        <v>1.049942288679052</v>
      </c>
      <c r="E91" s="4">
        <v>1.006816962826654</v>
      </c>
      <c r="F91" s="4">
        <v>0.9999184637179158</v>
      </c>
      <c r="G91" s="4">
        <v>1.074207596669043</v>
      </c>
      <c r="H91" s="4">
        <v>1.000015468508102</v>
      </c>
      <c r="I91" s="4">
        <v>1.259161125678876</v>
      </c>
    </row>
    <row x14ac:dyDescent="0.25" r="92" customHeight="1" ht="18">
      <c r="A92" s="3" t="s">
        <v>100</v>
      </c>
      <c r="B92" s="3" t="s">
        <v>75</v>
      </c>
      <c r="C92" s="4">
        <v>1.164864974313504</v>
      </c>
      <c r="D92" s="4">
        <v>1.067092130832133</v>
      </c>
      <c r="E92" s="4">
        <v>1.00925734875634</v>
      </c>
      <c r="F92" s="4">
        <v>0.9998911675319744</v>
      </c>
      <c r="G92" s="4">
        <v>1.100712914692776</v>
      </c>
      <c r="H92" s="4">
        <v>1.00002082097636</v>
      </c>
      <c r="I92" s="4">
        <v>1.380750664868513</v>
      </c>
    </row>
    <row x14ac:dyDescent="0.25" r="93" customHeight="1" ht="18">
      <c r="A93" s="3" t="s">
        <v>101</v>
      </c>
      <c r="B93" s="3" t="s">
        <v>75</v>
      </c>
      <c r="C93" s="4">
        <v>1.027039514519809</v>
      </c>
      <c r="D93" s="4">
        <v>1.041688922760318</v>
      </c>
      <c r="E93" s="4">
        <v>1.001854852256739</v>
      </c>
      <c r="F93" s="4">
        <v>0.9999510120705991</v>
      </c>
      <c r="G93" s="4">
        <v>1.04401273704157</v>
      </c>
      <c r="H93" s="4">
        <v>1.000005319107527</v>
      </c>
      <c r="I93" s="4">
        <v>1.118965860299538</v>
      </c>
    </row>
    <row x14ac:dyDescent="0.25" r="94" customHeight="1" ht="18">
      <c r="A94" s="3" t="s">
        <v>102</v>
      </c>
      <c r="B94" s="3" t="s">
        <v>75</v>
      </c>
      <c r="C94" s="4">
        <v>1.054204147455169</v>
      </c>
      <c r="D94" s="4">
        <v>1.080851488924263</v>
      </c>
      <c r="E94" s="4">
        <v>1.00367362676132</v>
      </c>
      <c r="F94" s="4">
        <v>0.9999055636443555</v>
      </c>
      <c r="G94" s="4">
        <v>1.08632631124409</v>
      </c>
      <c r="H94" s="4">
        <v>1.000010394361216</v>
      </c>
      <c r="I94" s="4">
        <v>1.24224442284064</v>
      </c>
    </row>
    <row x14ac:dyDescent="0.25" r="95" customHeight="1" ht="18">
      <c r="A95" s="3" t="s">
        <v>103</v>
      </c>
      <c r="B95" s="3" t="s">
        <v>75</v>
      </c>
      <c r="C95" s="4">
        <v>1.109125702729146</v>
      </c>
      <c r="D95" s="4">
        <v>1.095682495595103</v>
      </c>
      <c r="E95" s="4">
        <v>1.004381870964591</v>
      </c>
      <c r="F95" s="4">
        <v>0.9998885000138419</v>
      </c>
      <c r="G95" s="4">
        <v>1.102603102620392</v>
      </c>
      <c r="H95" s="4">
        <v>1.000012335466524</v>
      </c>
      <c r="I95" s="4">
        <v>1.345675976164906</v>
      </c>
    </row>
    <row x14ac:dyDescent="0.25" r="96" customHeight="1" ht="18">
      <c r="A96" s="3" t="s">
        <v>104</v>
      </c>
      <c r="B96" s="3" t="s">
        <v>75</v>
      </c>
      <c r="C96" s="4">
        <v>1.081493287729891</v>
      </c>
      <c r="D96" s="4">
        <v>1.055695473378927</v>
      </c>
      <c r="E96" s="4">
        <v>1.00249680449022</v>
      </c>
      <c r="F96" s="4">
        <v>0.9999346929181651</v>
      </c>
      <c r="G96" s="4">
        <v>1.05903657239689</v>
      </c>
      <c r="H96" s="4">
        <v>1.000007125743392</v>
      </c>
      <c r="I96" s="4">
        <v>1.21207968984209</v>
      </c>
    </row>
    <row x14ac:dyDescent="0.25" r="97" customHeight="1" ht="18">
      <c r="A97" s="3" t="s">
        <v>105</v>
      </c>
      <c r="B97" s="3" t="s">
        <v>75</v>
      </c>
      <c r="C97" s="4">
        <v>1.053979952041268</v>
      </c>
      <c r="D97" s="4">
        <v>1.013153555235677</v>
      </c>
      <c r="E97" s="4">
        <v>1.000576242472938</v>
      </c>
      <c r="F97" s="4">
        <v>0.9999844770854593</v>
      </c>
      <c r="G97" s="4">
        <v>1.013774534435217</v>
      </c>
      <c r="H97" s="4">
        <v>1.000001668704579</v>
      </c>
      <c r="I97" s="4">
        <v>1.083161389306007</v>
      </c>
    </row>
    <row x14ac:dyDescent="0.25" r="98" customHeight="1" ht="18">
      <c r="A98" s="3" t="s">
        <v>106</v>
      </c>
      <c r="B98" s="3" t="s">
        <v>75</v>
      </c>
      <c r="C98" s="4">
        <v>1.081381342718032</v>
      </c>
      <c r="D98" s="4">
        <v>1.019375275984041</v>
      </c>
      <c r="E98" s="4">
        <v>1.000851692293188</v>
      </c>
      <c r="F98" s="4">
        <v>0.9999771558243337</v>
      </c>
      <c r="G98" s="4">
        <v>1.020325758883416</v>
      </c>
      <c r="H98" s="4">
        <v>1.000002461112585</v>
      </c>
      <c r="I98" s="4">
        <v>1.125674154132465</v>
      </c>
    </row>
    <row x14ac:dyDescent="0.25" r="99" customHeight="1" ht="18">
      <c r="A99" s="3" t="s">
        <v>107</v>
      </c>
      <c r="B99" s="3" t="s">
        <v>75</v>
      </c>
      <c r="C99" s="4">
        <v>1.109129053140868</v>
      </c>
      <c r="D99" s="4">
        <v>1.062323566541697</v>
      </c>
      <c r="E99" s="4">
        <v>1.002803892715112</v>
      </c>
      <c r="F99" s="4">
        <v>0.9999269953762051</v>
      </c>
      <c r="G99" s="4">
        <v>1.066188377339292</v>
      </c>
      <c r="H99" s="4">
        <v>1.000007984006837</v>
      </c>
      <c r="I99" s="4">
        <v>1.259681100003346</v>
      </c>
    </row>
    <row x14ac:dyDescent="0.25" r="100" customHeight="1" ht="18">
      <c r="A100" s="3" t="s">
        <v>108</v>
      </c>
      <c r="B100" s="3" t="s">
        <v>75</v>
      </c>
      <c r="C100" s="4">
        <v>1.136992906288049</v>
      </c>
      <c r="D100" s="4">
        <v>1.102703658846789</v>
      </c>
      <c r="E100" s="4">
        <v>1.004720912288804</v>
      </c>
      <c r="F100" s="4">
        <v>0.9998804506098523</v>
      </c>
      <c r="G100" s="4">
        <v>1.110358038983684</v>
      </c>
      <c r="H100" s="4">
        <v>1.000013257974809</v>
      </c>
      <c r="I100" s="4">
        <v>1.398552869908069</v>
      </c>
    </row>
    <row x14ac:dyDescent="0.25" r="101" customHeight="1" ht="18">
      <c r="A101" s="3" t="s">
        <v>109</v>
      </c>
      <c r="B101" s="3" t="s">
        <v>75</v>
      </c>
      <c r="C101" s="4">
        <v>1.164992823071874</v>
      </c>
      <c r="D101" s="4">
        <v>1.109447930348568</v>
      </c>
      <c r="E101" s="4">
        <v>1.005048858400901</v>
      </c>
      <c r="F101" s="4">
        <v>0.9998727361186053</v>
      </c>
      <c r="G101" s="4">
        <v>1.117837261103071</v>
      </c>
      <c r="H101" s="4">
        <v>1.000014146236138</v>
      </c>
      <c r="I101" s="4">
        <v>1.451933751287066</v>
      </c>
    </row>
    <row x14ac:dyDescent="0.25" r="102" customHeight="1" ht="18">
      <c r="A102" s="3" t="s">
        <v>110</v>
      </c>
      <c r="B102" s="3" t="s">
        <v>75</v>
      </c>
      <c r="C102" s="4">
        <v>1.136900223151382</v>
      </c>
      <c r="D102" s="4">
        <v>1.068688592894526</v>
      </c>
      <c r="E102" s="4">
        <v>1.003100797545405</v>
      </c>
      <c r="F102" s="4">
        <v>0.9999196185079787</v>
      </c>
      <c r="G102" s="4">
        <v>1.073082142610124</v>
      </c>
      <c r="H102" s="4">
        <v>1.000008810202683</v>
      </c>
      <c r="I102" s="4">
        <v>1.307735714408055</v>
      </c>
    </row>
    <row x14ac:dyDescent="0.25" r="103" customHeight="1" ht="18">
      <c r="A103" s="3" t="s">
        <v>111</v>
      </c>
      <c r="B103" s="3" t="s">
        <v>75</v>
      </c>
      <c r="C103" s="4">
        <v>1.108920895766768</v>
      </c>
      <c r="D103" s="4">
        <v>1.025348408345384</v>
      </c>
      <c r="E103" s="4">
        <v>1.00111788252288</v>
      </c>
      <c r="F103" s="4">
        <v>0.9999701399831706</v>
      </c>
      <c r="G103" s="4">
        <v>1.026637030152843</v>
      </c>
      <c r="H103" s="4">
        <v>1.000003223713472</v>
      </c>
      <c r="I103" s="4">
        <v>1.168591181000127</v>
      </c>
    </row>
    <row x14ac:dyDescent="0.25" r="104" customHeight="1" ht="18">
      <c r="A104" s="3" t="s">
        <v>112</v>
      </c>
      <c r="B104" s="3" t="s">
        <v>75</v>
      </c>
      <c r="C104" s="4">
        <v>1.164822504596112</v>
      </c>
      <c r="D104" s="4">
        <v>1.036688323359482</v>
      </c>
      <c r="E104" s="4">
        <v>1.001627956749697</v>
      </c>
      <c r="F104" s="4">
        <v>0.9999568555070402</v>
      </c>
      <c r="G104" s="4">
        <v>1.038678113918515</v>
      </c>
      <c r="H104" s="4">
        <v>1.000004676449273</v>
      </c>
      <c r="I104" s="4">
        <v>1.256257510490156</v>
      </c>
    </row>
    <row x14ac:dyDescent="0.25" r="105" customHeight="1" ht="18">
      <c r="A105" s="3" t="s">
        <v>113</v>
      </c>
      <c r="B105" s="3" t="s">
        <v>75</v>
      </c>
      <c r="C105" s="4">
        <v>1.193260494320501</v>
      </c>
      <c r="D105" s="4">
        <v>1.080777267391622</v>
      </c>
      <c r="E105" s="4">
        <v>1.003670109354533</v>
      </c>
      <c r="F105" s="4">
        <v>0.9999056492450783</v>
      </c>
      <c r="G105" s="4">
        <v>1.086245207482332</v>
      </c>
      <c r="H105" s="4">
        <v>1.000010384672939</v>
      </c>
      <c r="I105" s="4">
        <v>1.405898150909675</v>
      </c>
    </row>
    <row x14ac:dyDescent="0.25" r="106" customHeight="1" ht="18">
      <c r="A106" s="3" t="s">
        <v>114</v>
      </c>
      <c r="B106" s="3" t="s">
        <v>75</v>
      </c>
      <c r="C106" s="4">
        <v>1.221806163278041</v>
      </c>
      <c r="D106" s="4">
        <v>1.122261686990849</v>
      </c>
      <c r="E106" s="4">
        <v>1.00567809626463</v>
      </c>
      <c r="F106" s="4">
        <v>0.9998581263946439</v>
      </c>
      <c r="G106" s="4">
        <v>1.132129361026489</v>
      </c>
      <c r="H106" s="4">
        <v>1.000015839583731</v>
      </c>
      <c r="I106" s="4">
        <v>1.560977894577594</v>
      </c>
    </row>
    <row x14ac:dyDescent="0.25" r="107" customHeight="1" ht="18">
      <c r="A107" s="3" t="s">
        <v>115</v>
      </c>
      <c r="B107" s="3" t="s">
        <v>75</v>
      </c>
      <c r="C107" s="4">
        <v>1.279532437829852</v>
      </c>
      <c r="D107" s="4">
        <v>1.134214962454383</v>
      </c>
      <c r="E107" s="4">
        <v>1.006272374557347</v>
      </c>
      <c r="F107" s="4">
        <v>0.9998445540656524</v>
      </c>
      <c r="G107" s="4">
        <v>1.145559502262475</v>
      </c>
      <c r="H107" s="4">
        <v>1.000017425864365</v>
      </c>
      <c r="I107" s="4">
        <v>1.672707206359777</v>
      </c>
    </row>
    <row x14ac:dyDescent="0.25" r="108" customHeight="1" ht="18">
      <c r="A108" s="3" t="s">
        <v>116</v>
      </c>
      <c r="B108" s="3" t="s">
        <v>75</v>
      </c>
      <c r="C108" s="4">
        <v>1.250540640294354</v>
      </c>
      <c r="D108" s="4">
        <v>1.092048777400579</v>
      </c>
      <c r="E108" s="4">
        <v>1.004207351658133</v>
      </c>
      <c r="F108" s="4">
        <v>0.9998926731465692</v>
      </c>
      <c r="G108" s="4">
        <v>1.098602119442474</v>
      </c>
      <c r="H108" s="4">
        <v>1.000011858929659</v>
      </c>
      <c r="I108" s="4">
        <v>1.506475983000688</v>
      </c>
    </row>
    <row x14ac:dyDescent="0.25" r="109" customHeight="1" ht="18">
      <c r="A109" s="3" t="s">
        <v>117</v>
      </c>
      <c r="B109" s="3" t="s">
        <v>75</v>
      </c>
      <c r="C109" s="4">
        <v>1.22165112857121</v>
      </c>
      <c r="D109" s="4">
        <v>1.047256409405981</v>
      </c>
      <c r="E109" s="4">
        <v>1.002108888155423</v>
      </c>
      <c r="F109" s="4">
        <v>0.999944516820555</v>
      </c>
      <c r="G109" s="4">
        <v>1.049970118834042</v>
      </c>
      <c r="H109" s="4">
        <v>1.000006036076257</v>
      </c>
      <c r="I109" s="4">
        <v>1.346079176838923</v>
      </c>
    </row>
    <row x14ac:dyDescent="0.25" r="110" customHeight="1" ht="18">
      <c r="A110" s="3" t="s">
        <v>118</v>
      </c>
      <c r="B110" s="3" t="s">
        <v>75</v>
      </c>
      <c r="C110" s="4">
        <v>1.020911703054576</v>
      </c>
      <c r="D110" s="4">
        <v>1.010306268177791</v>
      </c>
      <c r="E110" s="4">
        <v>1.002001492888218</v>
      </c>
      <c r="F110" s="4">
        <v>0.9999849066470435</v>
      </c>
      <c r="G110" s="4">
        <v>1.017121906721407</v>
      </c>
      <c r="H110" s="4">
        <v>1.000003236010742</v>
      </c>
      <c r="I110" s="4">
        <v>1.05118088987666</v>
      </c>
    </row>
    <row x14ac:dyDescent="0.25" r="111" customHeight="1" ht="18">
      <c r="A111" s="3" t="s">
        <v>119</v>
      </c>
      <c r="B111" s="3" t="s">
        <v>75</v>
      </c>
      <c r="C111" s="4">
        <v>1.041904182963497</v>
      </c>
      <c r="D111" s="4">
        <v>1.020156753333063</v>
      </c>
      <c r="E111" s="4">
        <v>1.003941354920763</v>
      </c>
      <c r="F111" s="4">
        <v>0.9999706181852773</v>
      </c>
      <c r="G111" s="4">
        <v>1.03373192563343</v>
      </c>
      <c r="H111" s="4">
        <v>1.000006334569356</v>
      </c>
      <c r="I111" s="4">
        <v>1.103064618382137</v>
      </c>
    </row>
    <row x14ac:dyDescent="0.25" r="112" customHeight="1" ht="18">
      <c r="A112" s="3" t="s">
        <v>120</v>
      </c>
      <c r="B112" s="3" t="s">
        <v>75</v>
      </c>
      <c r="C112" s="4">
        <v>1.084451093917699</v>
      </c>
      <c r="D112" s="4">
        <v>1.038744480397216</v>
      </c>
      <c r="E112" s="4">
        <v>1.007674358138176</v>
      </c>
      <c r="F112" s="4">
        <v>0.9999440189400853</v>
      </c>
      <c r="G112" s="4">
        <v>1.065743791338647</v>
      </c>
      <c r="H112" s="4">
        <v>1.000012196024449</v>
      </c>
      <c r="I112" s="4">
        <v>1.20968613406784</v>
      </c>
    </row>
    <row x14ac:dyDescent="0.25" r="113" customHeight="1" ht="18">
      <c r="A113" s="3" t="s">
        <v>121</v>
      </c>
      <c r="B113" s="3" t="s">
        <v>75</v>
      </c>
      <c r="C113" s="4">
        <v>1.127492716793534</v>
      </c>
      <c r="D113" s="4">
        <v>1.052664989208931</v>
      </c>
      <c r="E113" s="4">
        <v>1.010533016299794</v>
      </c>
      <c r="F113" s="4">
        <v>0.9999244064284256</v>
      </c>
      <c r="G113" s="4">
        <v>1.090305803140207</v>
      </c>
      <c r="H113" s="4">
        <v>1.000016597654081</v>
      </c>
      <c r="I113" s="4">
        <v>1.307606685005286</v>
      </c>
    </row>
    <row x14ac:dyDescent="0.25" r="114" customHeight="1" ht="18">
      <c r="A114" s="3" t="s">
        <v>122</v>
      </c>
      <c r="B114" s="3" t="s">
        <v>75</v>
      </c>
      <c r="C114" s="4">
        <v>1.084382820355074</v>
      </c>
      <c r="D114" s="4">
        <v>1.033616735768025</v>
      </c>
      <c r="E114" s="4">
        <v>1.006635002018219</v>
      </c>
      <c r="F114" s="4">
        <v>0.9999513096501179</v>
      </c>
      <c r="G114" s="4">
        <v>1.056824143267326</v>
      </c>
      <c r="H114" s="4">
        <v>1.000010577187261</v>
      </c>
      <c r="I114" s="4">
        <v>1.192340681093131</v>
      </c>
    </row>
    <row x14ac:dyDescent="0.25" r="115" customHeight="1" ht="18">
      <c r="A115" s="3" t="s">
        <v>123</v>
      </c>
      <c r="B115" s="3" t="s">
        <v>75</v>
      </c>
      <c r="C115" s="4">
        <v>1.063106943632215</v>
      </c>
      <c r="D115" s="4">
        <v>1.023526420909857</v>
      </c>
      <c r="E115" s="4">
        <v>1.004611024878892</v>
      </c>
      <c r="F115" s="4">
        <v>0.9999657610474194</v>
      </c>
      <c r="G115" s="4">
        <v>1.039469749179105</v>
      </c>
      <c r="H115" s="4">
        <v>1.000007395769819</v>
      </c>
      <c r="I115" s="4">
        <v>1.1362506621891</v>
      </c>
    </row>
    <row x14ac:dyDescent="0.25" r="116" customHeight="1" ht="18">
      <c r="A116" s="3" t="s">
        <v>124</v>
      </c>
      <c r="B116" s="3" t="s">
        <v>75</v>
      </c>
      <c r="C116" s="4">
        <v>1.041909071210285</v>
      </c>
      <c r="D116" s="4">
        <v>1.012972309122828</v>
      </c>
      <c r="E116" s="4">
        <v>1.002523913341393</v>
      </c>
      <c r="F116" s="4">
        <v>0.9999810262446921</v>
      </c>
      <c r="G116" s="4">
        <v>1.021593565560546</v>
      </c>
      <c r="H116" s="4">
        <v>1.00000407409883</v>
      </c>
      <c r="I116" s="4">
        <v>1.08092064413959</v>
      </c>
    </row>
    <row x14ac:dyDescent="0.25" r="117" customHeight="1" ht="18">
      <c r="A117" s="3" t="s">
        <v>125</v>
      </c>
      <c r="B117" s="3" t="s">
        <v>75</v>
      </c>
      <c r="C117" s="4">
        <v>1.063123136421298</v>
      </c>
      <c r="D117" s="4">
        <v>1.01912500580998</v>
      </c>
      <c r="E117" s="4">
        <v>1.003736932422984</v>
      </c>
      <c r="F117" s="4">
        <v>0.9999721084981359</v>
      </c>
      <c r="G117" s="4">
        <v>1.031980804186371</v>
      </c>
      <c r="H117" s="4">
        <v>1.000006009769324</v>
      </c>
      <c r="I117" s="4">
        <v>1.122258872378328</v>
      </c>
    </row>
    <row x14ac:dyDescent="0.25" r="118" customHeight="1" ht="18">
      <c r="A118" s="3" t="s">
        <v>126</v>
      </c>
      <c r="B118" s="3" t="s">
        <v>75</v>
      </c>
      <c r="C118" s="4">
        <v>1.084462956471653</v>
      </c>
      <c r="D118" s="4">
        <v>1.029798047802827</v>
      </c>
      <c r="E118" s="4">
        <v>1.005865721193277</v>
      </c>
      <c r="F118" s="4">
        <v>0.9999567624132313</v>
      </c>
      <c r="G118" s="4">
        <v>1.050225713932928</v>
      </c>
      <c r="H118" s="4">
        <v>1.000009372530509</v>
      </c>
      <c r="I118" s="4">
        <v>1.179708568227406</v>
      </c>
    </row>
    <row x14ac:dyDescent="0.25" r="119" customHeight="1" ht="18">
      <c r="A119" s="3" t="s">
        <v>127</v>
      </c>
      <c r="B119" s="3" t="s">
        <v>75</v>
      </c>
      <c r="C119" s="4">
        <v>1.105879424474066</v>
      </c>
      <c r="D119" s="4">
        <v>1.040003496743047</v>
      </c>
      <c r="E119" s="4">
        <v>1.007930670841935</v>
      </c>
      <c r="F119" s="4">
        <v>0.9999422343203953</v>
      </c>
      <c r="G119" s="4">
        <v>1.067944288005726</v>
      </c>
      <c r="H119" s="4">
        <v>1.000012593709817</v>
      </c>
      <c r="I119" s="4">
        <v>1.237947470125981</v>
      </c>
    </row>
    <row x14ac:dyDescent="0.25" r="120" customHeight="1" ht="18">
      <c r="A120" s="3" t="s">
        <v>128</v>
      </c>
      <c r="B120" s="3" t="s">
        <v>75</v>
      </c>
      <c r="C120" s="4">
        <v>1.149268668660713</v>
      </c>
      <c r="D120" s="4">
        <v>1.059272970003343</v>
      </c>
      <c r="E120" s="4">
        <v>1.011909139205432</v>
      </c>
      <c r="F120" s="4">
        <v>0.9999151880103102</v>
      </c>
      <c r="G120" s="4">
        <v>1.102145874884561</v>
      </c>
      <c r="H120" s="4">
        <v>1.00001869052523</v>
      </c>
      <c r="I120" s="4">
        <v>1.357629722699465</v>
      </c>
    </row>
    <row x14ac:dyDescent="0.25" r="121" customHeight="1" ht="18">
      <c r="A121" s="3" t="s">
        <v>129</v>
      </c>
      <c r="B121" s="3" t="s">
        <v>75</v>
      </c>
      <c r="C121" s="4">
        <v>1.171107566476679</v>
      </c>
      <c r="D121" s="4">
        <v>1.065631418498207</v>
      </c>
      <c r="E121" s="4">
        <v>1.013245036060345</v>
      </c>
      <c r="F121" s="4">
        <v>0.9999063730004548</v>
      </c>
      <c r="G121" s="4">
        <v>1.113650491512274</v>
      </c>
      <c r="H121" s="4">
        <v>1.00002070640371</v>
      </c>
      <c r="I121" s="4">
        <v>1.408106587755482</v>
      </c>
    </row>
    <row x14ac:dyDescent="0.25" r="122" customHeight="1" ht="18">
      <c r="A122" s="3" t="s">
        <v>130</v>
      </c>
      <c r="B122" s="3" t="s">
        <v>75</v>
      </c>
      <c r="C122" s="4">
        <v>1.127441711503462</v>
      </c>
      <c r="D122" s="4">
        <v>1.046147476527473</v>
      </c>
      <c r="E122" s="4">
        <v>1.009187831699431</v>
      </c>
      <c r="F122" s="4">
        <v>0.9999335562630126</v>
      </c>
      <c r="G122" s="4">
        <v>1.078742270984491</v>
      </c>
      <c r="H122" s="4">
        <v>1.000014535592251</v>
      </c>
      <c r="I122" s="4">
        <v>1.283967905289975</v>
      </c>
    </row>
    <row x14ac:dyDescent="0.25" r="123" customHeight="1" ht="18">
      <c r="A123" s="3" t="s">
        <v>131</v>
      </c>
      <c r="B123" s="3" t="s">
        <v>75</v>
      </c>
      <c r="C123" s="4">
        <v>1.105886047115892</v>
      </c>
      <c r="D123" s="4">
        <v>1.035830451305092</v>
      </c>
      <c r="E123" s="4">
        <v>1.007082809173916</v>
      </c>
      <c r="F123" s="4">
        <v>0.999948157761456</v>
      </c>
      <c r="G123" s="4">
        <v>1.060666509673171</v>
      </c>
      <c r="H123" s="4">
        <v>1.000011275890127</v>
      </c>
      <c r="I123" s="4">
        <v>1.223560571020298</v>
      </c>
    </row>
    <row x14ac:dyDescent="0.25" r="124" customHeight="1" ht="18">
      <c r="A124" s="3" t="s">
        <v>132</v>
      </c>
      <c r="B124" s="3" t="s">
        <v>75</v>
      </c>
      <c r="C124" s="4">
        <v>1.084405699935039</v>
      </c>
      <c r="D124" s="4">
        <v>1.025042185863196</v>
      </c>
      <c r="E124" s="4">
        <v>1.004913275612018</v>
      </c>
      <c r="F124" s="4">
        <v>0.9999635812634284</v>
      </c>
      <c r="G124" s="4">
        <v>1.042060141328457</v>
      </c>
      <c r="H124" s="4">
        <v>1.000007873329115</v>
      </c>
      <c r="I124" s="4">
        <v>1.163971915276435</v>
      </c>
    </row>
    <row x14ac:dyDescent="0.25" r="125" customHeight="1" ht="18">
      <c r="A125" s="3" t="s">
        <v>133</v>
      </c>
      <c r="B125" s="3" t="s">
        <v>75</v>
      </c>
      <c r="C125" s="4">
        <v>1.127494031714142</v>
      </c>
      <c r="D125" s="4">
        <v>1.036304230305595</v>
      </c>
      <c r="E125" s="4">
        <v>1.007178825625278</v>
      </c>
      <c r="F125" s="4">
        <v>0.9999474840622044</v>
      </c>
      <c r="G125" s="4">
        <v>1.061490500679859</v>
      </c>
      <c r="H125" s="4">
        <v>1.000011425460155</v>
      </c>
      <c r="I125" s="4">
        <v>1.249126366397532</v>
      </c>
    </row>
    <row x14ac:dyDescent="0.25" r="126" customHeight="1" ht="18">
      <c r="A126" s="3" t="s">
        <v>134</v>
      </c>
      <c r="B126" s="3" t="s">
        <v>75</v>
      </c>
      <c r="C126" s="4">
        <v>1.149253373133266</v>
      </c>
      <c r="D126" s="4">
        <v>1.04731411113287</v>
      </c>
      <c r="E126" s="4">
        <v>1.009427740534748</v>
      </c>
      <c r="F126" s="4">
        <v>0.999931914226968</v>
      </c>
      <c r="G126" s="4">
        <v>1.080803854388811</v>
      </c>
      <c r="H126" s="4">
        <v>1.000014904542063</v>
      </c>
      <c r="I126" s="4">
        <v>1.313081749876165</v>
      </c>
    </row>
    <row x14ac:dyDescent="0.25" r="127" customHeight="1" ht="18">
      <c r="A127" s="3" t="s">
        <v>135</v>
      </c>
      <c r="B127" s="3" t="s">
        <v>75</v>
      </c>
      <c r="C127" s="4">
        <v>1.171085424344414</v>
      </c>
      <c r="D127" s="4">
        <v>1.057845821913002</v>
      </c>
      <c r="E127" s="4">
        <v>1.011610883330247</v>
      </c>
      <c r="F127" s="4">
        <v>0.9999171739756483</v>
      </c>
      <c r="G127" s="4">
        <v>1.099578770256608</v>
      </c>
      <c r="H127" s="4">
        <v>1.000018238336478</v>
      </c>
      <c r="I127" s="4">
        <v>1.377915985140533</v>
      </c>
    </row>
    <row x14ac:dyDescent="0.25" r="128" customHeight="1" ht="18">
      <c r="A128" s="3" t="s">
        <v>136</v>
      </c>
      <c r="B128" s="3" t="s">
        <v>75</v>
      </c>
      <c r="C128" s="4">
        <v>1.215300614242923</v>
      </c>
      <c r="D128" s="4">
        <v>1.077742661928919</v>
      </c>
      <c r="E128" s="4">
        <v>1.015821716598331</v>
      </c>
      <c r="F128" s="4">
        <v>0.9998897318372515</v>
      </c>
      <c r="G128" s="4">
        <v>1.135871650130185</v>
      </c>
      <c r="H128" s="4">
        <v>1.000024551541066</v>
      </c>
      <c r="I128" s="4">
        <v>1.51115257760026</v>
      </c>
    </row>
    <row x14ac:dyDescent="0.25" r="129" customHeight="1" ht="18">
      <c r="A129" s="3" t="s">
        <v>137</v>
      </c>
      <c r="B129" s="3" t="s">
        <v>75</v>
      </c>
      <c r="C129" s="4">
        <v>1.260050133888952</v>
      </c>
      <c r="D129" s="4">
        <v>1.089077603413659</v>
      </c>
      <c r="E129" s="4">
        <v>1.018271820490789</v>
      </c>
      <c r="F129" s="4">
        <v>0.9998743334339988</v>
      </c>
      <c r="G129" s="4">
        <v>1.157041083880582</v>
      </c>
      <c r="H129" s="4">
        <v>1.000028156437705</v>
      </c>
      <c r="I129" s="4">
        <v>1.616652973760702</v>
      </c>
    </row>
    <row x14ac:dyDescent="0.25" r="130" customHeight="1" ht="18">
      <c r="A130" s="3" t="s">
        <v>138</v>
      </c>
      <c r="B130" s="3" t="s">
        <v>75</v>
      </c>
      <c r="C130" s="4">
        <v>1.215292181548216</v>
      </c>
      <c r="D130" s="4">
        <v>1.068789057870699</v>
      </c>
      <c r="E130" s="4">
        <v>1.013912752381106</v>
      </c>
      <c r="F130" s="4">
        <v>0.9999020155028825</v>
      </c>
      <c r="G130" s="4">
        <v>1.119404853197818</v>
      </c>
      <c r="H130" s="4">
        <v>1.000021708231039</v>
      </c>
      <c r="I130" s="4">
        <v>1.474101354075454</v>
      </c>
    </row>
    <row x14ac:dyDescent="0.25" r="131" customHeight="1" ht="18">
      <c r="A131" s="3" t="s">
        <v>139</v>
      </c>
      <c r="B131" s="3" t="s">
        <v>75</v>
      </c>
      <c r="C131" s="4">
        <v>1.193187113747206</v>
      </c>
      <c r="D131" s="4">
        <v>1.058053829904343</v>
      </c>
      <c r="E131" s="4">
        <v>1.011654318287855</v>
      </c>
      <c r="F131" s="4">
        <v>0.9999168843494073</v>
      </c>
      <c r="G131" s="4">
        <v>1.099952584935074</v>
      </c>
      <c r="H131" s="4">
        <v>1.000018304237069</v>
      </c>
      <c r="I131" s="4">
        <v>1.404734580065813</v>
      </c>
    </row>
    <row x14ac:dyDescent="0.25" r="132" customHeight="1" ht="18">
      <c r="A132" s="3" t="s">
        <v>140</v>
      </c>
      <c r="B132" s="3" t="s">
        <v>75</v>
      </c>
      <c r="C132" s="4">
        <v>1.171152224254121</v>
      </c>
      <c r="D132" s="4">
        <v>1.046833969324793</v>
      </c>
      <c r="E132" s="4">
        <v>1.009328956983259</v>
      </c>
      <c r="F132" s="4">
        <v>0.9999325898027873</v>
      </c>
      <c r="G132" s="4">
        <v>1.079954950122332</v>
      </c>
      <c r="H132" s="4">
        <v>1.000014752688096</v>
      </c>
      <c r="I132" s="4">
        <v>1.336308272764716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Amila</vt:lpstr>
      <vt:lpstr>Exp values</vt:lpstr>
      <vt:lpstr>Relative Diff (permille)</vt:lpstr>
      <vt:lpstr>Experimental RPFR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2026-02-16T22:24:48.385Z</dcterms:created>
  <dcterms:modified xsi:type="dcterms:W3CDTF">2026-02-16T22:24:48.386Z</dcterms:modified>
</cp:coreProperties>
</file>